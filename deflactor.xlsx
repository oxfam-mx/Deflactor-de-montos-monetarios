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03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cbrownsola/Library/CloudStorage/Dropbox/"/>
    </mc:Choice>
  </mc:AlternateContent>
  <xr:revisionPtr revIDLastSave="0" documentId="13_ncr:1_{A44A2329-5C38-8845-9485-47D88D632B04}" xr6:coauthVersionLast="47" xr6:coauthVersionMax="47" xr10:uidLastSave="{00000000-0000-0000-0000-000000000000}"/>
  <bookViews>
    <workbookView xWindow="980" yWindow="660" windowWidth="28420" windowHeight="18460" xr2:uid="{00000000-000D-0000-FFFF-FFFF00000000}"/>
  </bookViews>
  <sheets>
    <sheet name="Tabla para copiar" sheetId="6" r:id="rId1"/>
    <sheet name="Calculos deflactor" sheetId="2" state="hidden" r:id="rId2"/>
    <sheet name="Original INEGI Base 1993-2025" sheetId="5" state="hidden" r:id="rId3"/>
  </sheets>
  <definedNames>
    <definedName name="A_impresión_IM">#REF!</definedName>
    <definedName name="_xlnm.Database">#REF!</definedName>
    <definedName name="FORM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6" i="2" l="1"/>
  <c r="B35" i="2"/>
  <c r="B5" i="2" l="1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4" i="2"/>
  <c r="E34" i="2" l="1"/>
  <c r="AF50" i="2" s="1"/>
  <c r="AH32" i="2"/>
  <c r="AD79" i="2" s="1"/>
  <c r="AH12" i="2"/>
  <c r="J79" i="2" s="1"/>
  <c r="AH8" i="2"/>
  <c r="F79" i="2" s="1"/>
  <c r="AH26" i="2"/>
  <c r="X79" i="2" s="1"/>
  <c r="AH22" i="2"/>
  <c r="T79" i="2" s="1"/>
  <c r="AH6" i="2"/>
  <c r="D79" i="2" s="1"/>
  <c r="X34" i="2"/>
  <c r="AF69" i="2" s="1"/>
  <c r="AH33" i="2"/>
  <c r="AE79" i="2" s="1"/>
  <c r="AH29" i="2"/>
  <c r="AA79" i="2" s="1"/>
  <c r="AH13" i="2"/>
  <c r="K79" i="2" s="1"/>
  <c r="AH9" i="2"/>
  <c r="G79" i="2" s="1"/>
  <c r="T34" i="2"/>
  <c r="AF65" i="2" s="1"/>
  <c r="AF34" i="2"/>
  <c r="AF77" i="2" s="1"/>
  <c r="AH27" i="2"/>
  <c r="Y79" i="2" s="1"/>
  <c r="AH23" i="2"/>
  <c r="U79" i="2" s="1"/>
  <c r="AH15" i="2"/>
  <c r="M79" i="2" s="1"/>
  <c r="AH11" i="2"/>
  <c r="I79" i="2" s="1"/>
  <c r="D34" i="2"/>
  <c r="AF49" i="2" s="1"/>
  <c r="AE34" i="2"/>
  <c r="AF76" i="2" s="1"/>
  <c r="K34" i="2"/>
  <c r="AD34" i="2"/>
  <c r="AF75" i="2" s="1"/>
  <c r="N34" i="2"/>
  <c r="AF59" i="2" s="1"/>
  <c r="J34" i="2"/>
  <c r="AF55" i="2" s="1"/>
  <c r="AH34" i="2"/>
  <c r="AF79" i="2" s="1"/>
  <c r="AA34" i="2"/>
  <c r="AF72" i="2" s="1"/>
  <c r="AG34" i="2"/>
  <c r="AF78" i="2" s="1"/>
  <c r="AC34" i="2"/>
  <c r="AF74" i="2" s="1"/>
  <c r="U34" i="2"/>
  <c r="AF66" i="2" s="1"/>
  <c r="Q34" i="2"/>
  <c r="AF62" i="2" s="1"/>
  <c r="F31" i="2"/>
  <c r="AC51" i="2" s="1"/>
  <c r="I31" i="2"/>
  <c r="AC54" i="2" s="1"/>
  <c r="Y34" i="2" l="1"/>
  <c r="AF70" i="2" s="1"/>
  <c r="F34" i="2"/>
  <c r="AF51" i="2" s="1"/>
  <c r="W34" i="2"/>
  <c r="AF68" i="2" s="1"/>
  <c r="AH19" i="2"/>
  <c r="Q79" i="2" s="1"/>
  <c r="AH5" i="2"/>
  <c r="C79" i="2" s="1"/>
  <c r="H34" i="2"/>
  <c r="AF53" i="2" s="1"/>
  <c r="AH24" i="2"/>
  <c r="V79" i="2" s="1"/>
  <c r="L34" i="2"/>
  <c r="AF57" i="2" s="1"/>
  <c r="AH17" i="2"/>
  <c r="O79" i="2" s="1"/>
  <c r="AH10" i="2"/>
  <c r="H79" i="2" s="1"/>
  <c r="AH16" i="2"/>
  <c r="N79" i="2" s="1"/>
  <c r="AH4" i="2"/>
  <c r="B79" i="2" s="1"/>
  <c r="AH20" i="2"/>
  <c r="R79" i="2" s="1"/>
  <c r="G34" i="2"/>
  <c r="AF52" i="2" s="1"/>
  <c r="R34" i="2"/>
  <c r="AF63" i="2" s="1"/>
  <c r="AH31" i="2"/>
  <c r="AC79" i="2" s="1"/>
  <c r="I34" i="2"/>
  <c r="AF54" i="2" s="1"/>
  <c r="O34" i="2"/>
  <c r="AF60" i="2" s="1"/>
  <c r="V34" i="2"/>
  <c r="AF67" i="2" s="1"/>
  <c r="AB34" i="2"/>
  <c r="AF73" i="2" s="1"/>
  <c r="AH21" i="2"/>
  <c r="S79" i="2" s="1"/>
  <c r="AH14" i="2"/>
  <c r="L79" i="2" s="1"/>
  <c r="M34" i="2"/>
  <c r="AF58" i="2" s="1"/>
  <c r="S34" i="2"/>
  <c r="AF64" i="2" s="1"/>
  <c r="Z34" i="2"/>
  <c r="AF71" i="2" s="1"/>
  <c r="AH7" i="2"/>
  <c r="E79" i="2" s="1"/>
  <c r="P34" i="2"/>
  <c r="AF61" i="2" s="1"/>
  <c r="AH25" i="2"/>
  <c r="W79" i="2" s="1"/>
  <c r="AH18" i="2"/>
  <c r="P79" i="2" s="1"/>
  <c r="AH28" i="2"/>
  <c r="Z79" i="2" s="1"/>
  <c r="AH30" i="2"/>
  <c r="AB79" i="2" s="1"/>
  <c r="AF56" i="2"/>
  <c r="J32" i="2"/>
  <c r="AD55" i="2" s="1"/>
  <c r="E32" i="2"/>
  <c r="AD50" i="2" s="1"/>
  <c r="D32" i="2"/>
  <c r="AD49" i="2" s="1"/>
  <c r="AG30" i="2"/>
  <c r="AB78" i="2" s="1"/>
  <c r="E31" i="2"/>
  <c r="AC50" i="2" s="1"/>
  <c r="E27" i="2"/>
  <c r="Y50" i="2" s="1"/>
  <c r="I27" i="2"/>
  <c r="Y54" i="2" s="1"/>
  <c r="G27" i="2"/>
  <c r="Y52" i="2" s="1"/>
  <c r="F27" i="2"/>
  <c r="Y51" i="2" s="1"/>
  <c r="D27" i="2"/>
  <c r="Y49" i="2" s="1"/>
  <c r="J27" i="2"/>
  <c r="Y55" i="2" s="1"/>
  <c r="H27" i="2"/>
  <c r="Y53" i="2" s="1"/>
  <c r="D15" i="2"/>
  <c r="M49" i="2" s="1"/>
  <c r="H15" i="2"/>
  <c r="M53" i="2" s="1"/>
  <c r="E15" i="2"/>
  <c r="M50" i="2" s="1"/>
  <c r="I15" i="2"/>
  <c r="M54" i="2" s="1"/>
  <c r="G15" i="2"/>
  <c r="M52" i="2" s="1"/>
  <c r="F15" i="2"/>
  <c r="M51" i="2" s="1"/>
  <c r="J15" i="2"/>
  <c r="M55" i="2" s="1"/>
  <c r="E29" i="2"/>
  <c r="AA50" i="2" s="1"/>
  <c r="I29" i="2"/>
  <c r="AA54" i="2" s="1"/>
  <c r="F29" i="2"/>
  <c r="AA51" i="2" s="1"/>
  <c r="J29" i="2"/>
  <c r="AA55" i="2" s="1"/>
  <c r="G29" i="2"/>
  <c r="AA52" i="2" s="1"/>
  <c r="D29" i="2"/>
  <c r="AA49" i="2" s="1"/>
  <c r="H29" i="2"/>
  <c r="AA53" i="2" s="1"/>
  <c r="E25" i="2"/>
  <c r="W50" i="2" s="1"/>
  <c r="I25" i="2"/>
  <c r="W54" i="2" s="1"/>
  <c r="F25" i="2"/>
  <c r="W51" i="2" s="1"/>
  <c r="J25" i="2"/>
  <c r="W55" i="2" s="1"/>
  <c r="G25" i="2"/>
  <c r="W52" i="2" s="1"/>
  <c r="D25" i="2"/>
  <c r="W49" i="2" s="1"/>
  <c r="H25" i="2"/>
  <c r="W53" i="2" s="1"/>
  <c r="E21" i="2"/>
  <c r="S50" i="2" s="1"/>
  <c r="I21" i="2"/>
  <c r="S54" i="2" s="1"/>
  <c r="F21" i="2"/>
  <c r="S51" i="2" s="1"/>
  <c r="J21" i="2"/>
  <c r="S55" i="2" s="1"/>
  <c r="G21" i="2"/>
  <c r="S52" i="2" s="1"/>
  <c r="D21" i="2"/>
  <c r="S49" i="2" s="1"/>
  <c r="H21" i="2"/>
  <c r="S53" i="2" s="1"/>
  <c r="D17" i="2"/>
  <c r="O49" i="2" s="1"/>
  <c r="H17" i="2"/>
  <c r="O53" i="2" s="1"/>
  <c r="E17" i="2"/>
  <c r="O50" i="2" s="1"/>
  <c r="I17" i="2"/>
  <c r="O54" i="2" s="1"/>
  <c r="F17" i="2"/>
  <c r="O51" i="2" s="1"/>
  <c r="J17" i="2"/>
  <c r="O55" i="2" s="1"/>
  <c r="G17" i="2"/>
  <c r="O52" i="2" s="1"/>
  <c r="D13" i="2"/>
  <c r="K49" i="2" s="1"/>
  <c r="H13" i="2"/>
  <c r="K53" i="2" s="1"/>
  <c r="E13" i="2"/>
  <c r="K50" i="2" s="1"/>
  <c r="I13" i="2"/>
  <c r="K54" i="2" s="1"/>
  <c r="F13" i="2"/>
  <c r="K51" i="2" s="1"/>
  <c r="J13" i="2"/>
  <c r="K55" i="2" s="1"/>
  <c r="G13" i="2"/>
  <c r="K52" i="2" s="1"/>
  <c r="D9" i="2"/>
  <c r="G49" i="2" s="1"/>
  <c r="H9" i="2"/>
  <c r="G53" i="2" s="1"/>
  <c r="E9" i="2"/>
  <c r="G50" i="2" s="1"/>
  <c r="I9" i="2"/>
  <c r="G54" i="2" s="1"/>
  <c r="F9" i="2"/>
  <c r="G51" i="2" s="1"/>
  <c r="J9" i="2"/>
  <c r="G55" i="2" s="1"/>
  <c r="G9" i="2"/>
  <c r="G52" i="2" s="1"/>
  <c r="D5" i="2"/>
  <c r="C49" i="2" s="1"/>
  <c r="H5" i="2"/>
  <c r="C53" i="2" s="1"/>
  <c r="E5" i="2"/>
  <c r="C50" i="2" s="1"/>
  <c r="I5" i="2"/>
  <c r="C54" i="2" s="1"/>
  <c r="G5" i="2"/>
  <c r="C52" i="2" s="1"/>
  <c r="F5" i="2"/>
  <c r="C51" i="2" s="1"/>
  <c r="J5" i="2"/>
  <c r="C55" i="2" s="1"/>
  <c r="I32" i="2"/>
  <c r="AD54" i="2" s="1"/>
  <c r="G24" i="2"/>
  <c r="V52" i="2" s="1"/>
  <c r="J24" i="2"/>
  <c r="V55" i="2" s="1"/>
  <c r="I24" i="2"/>
  <c r="V54" i="2" s="1"/>
  <c r="D24" i="2"/>
  <c r="V49" i="2" s="1"/>
  <c r="H24" i="2"/>
  <c r="V53" i="2" s="1"/>
  <c r="E24" i="2"/>
  <c r="V50" i="2" s="1"/>
  <c r="F24" i="2"/>
  <c r="V51" i="2" s="1"/>
  <c r="F16" i="2"/>
  <c r="N51" i="2" s="1"/>
  <c r="G16" i="2"/>
  <c r="N52" i="2" s="1"/>
  <c r="J16" i="2"/>
  <c r="N55" i="2" s="1"/>
  <c r="I16" i="2"/>
  <c r="N54" i="2" s="1"/>
  <c r="D16" i="2"/>
  <c r="N49" i="2" s="1"/>
  <c r="H16" i="2"/>
  <c r="N53" i="2" s="1"/>
  <c r="E16" i="2"/>
  <c r="N50" i="2" s="1"/>
  <c r="F12" i="2"/>
  <c r="J51" i="2" s="1"/>
  <c r="G12" i="2"/>
  <c r="J52" i="2" s="1"/>
  <c r="J12" i="2"/>
  <c r="J55" i="2" s="1"/>
  <c r="I12" i="2"/>
  <c r="J54" i="2" s="1"/>
  <c r="D12" i="2"/>
  <c r="J49" i="2" s="1"/>
  <c r="H12" i="2"/>
  <c r="J53" i="2" s="1"/>
  <c r="E12" i="2"/>
  <c r="J50" i="2" s="1"/>
  <c r="F8" i="2"/>
  <c r="F51" i="2" s="1"/>
  <c r="G8" i="2"/>
  <c r="F52" i="2" s="1"/>
  <c r="J8" i="2"/>
  <c r="F55" i="2" s="1"/>
  <c r="I8" i="2"/>
  <c r="F54" i="2" s="1"/>
  <c r="D8" i="2"/>
  <c r="F49" i="2" s="1"/>
  <c r="H8" i="2"/>
  <c r="F53" i="2" s="1"/>
  <c r="E8" i="2"/>
  <c r="F50" i="2" s="1"/>
  <c r="H31" i="2"/>
  <c r="AC53" i="2" s="1"/>
  <c r="G28" i="2"/>
  <c r="Z52" i="2" s="1"/>
  <c r="J28" i="2"/>
  <c r="Z55" i="2" s="1"/>
  <c r="I28" i="2"/>
  <c r="Z54" i="2" s="1"/>
  <c r="D28" i="2"/>
  <c r="Z49" i="2" s="1"/>
  <c r="H28" i="2"/>
  <c r="Z53" i="2" s="1"/>
  <c r="E28" i="2"/>
  <c r="Z50" i="2" s="1"/>
  <c r="F28" i="2"/>
  <c r="Z51" i="2" s="1"/>
  <c r="E23" i="2"/>
  <c r="U50" i="2" s="1"/>
  <c r="I23" i="2"/>
  <c r="U54" i="2" s="1"/>
  <c r="G23" i="2"/>
  <c r="U52" i="2" s="1"/>
  <c r="F23" i="2"/>
  <c r="U51" i="2" s="1"/>
  <c r="D23" i="2"/>
  <c r="U49" i="2" s="1"/>
  <c r="H23" i="2"/>
  <c r="U53" i="2" s="1"/>
  <c r="J23" i="2"/>
  <c r="U55" i="2" s="1"/>
  <c r="D11" i="2"/>
  <c r="I49" i="2" s="1"/>
  <c r="H11" i="2"/>
  <c r="I53" i="2" s="1"/>
  <c r="E11" i="2"/>
  <c r="I50" i="2" s="1"/>
  <c r="I11" i="2"/>
  <c r="I54" i="2" s="1"/>
  <c r="G11" i="2"/>
  <c r="I52" i="2" s="1"/>
  <c r="F11" i="2"/>
  <c r="I51" i="2" s="1"/>
  <c r="J11" i="2"/>
  <c r="I55" i="2" s="1"/>
  <c r="D7" i="2"/>
  <c r="E49" i="2" s="1"/>
  <c r="H7" i="2"/>
  <c r="E53" i="2" s="1"/>
  <c r="E7" i="2"/>
  <c r="E50" i="2" s="1"/>
  <c r="I7" i="2"/>
  <c r="E54" i="2" s="1"/>
  <c r="G7" i="2"/>
  <c r="E52" i="2" s="1"/>
  <c r="F7" i="2"/>
  <c r="E51" i="2" s="1"/>
  <c r="J7" i="2"/>
  <c r="E55" i="2" s="1"/>
  <c r="H32" i="2"/>
  <c r="AD53" i="2" s="1"/>
  <c r="G32" i="2"/>
  <c r="AD52" i="2" s="1"/>
  <c r="G20" i="2"/>
  <c r="R52" i="2" s="1"/>
  <c r="J20" i="2"/>
  <c r="R55" i="2" s="1"/>
  <c r="I20" i="2"/>
  <c r="R54" i="2" s="1"/>
  <c r="D20" i="2"/>
  <c r="R49" i="2" s="1"/>
  <c r="H20" i="2"/>
  <c r="R53" i="2" s="1"/>
  <c r="E20" i="2"/>
  <c r="R50" i="2" s="1"/>
  <c r="F20" i="2"/>
  <c r="R51" i="2" s="1"/>
  <c r="H4" i="2"/>
  <c r="B53" i="2" s="1"/>
  <c r="D4" i="2"/>
  <c r="B49" i="2" s="1"/>
  <c r="G4" i="2"/>
  <c r="B52" i="2" s="1"/>
  <c r="J4" i="2"/>
  <c r="B55" i="2" s="1"/>
  <c r="F4" i="2"/>
  <c r="B51" i="2" s="1"/>
  <c r="I4" i="2"/>
  <c r="B54" i="2" s="1"/>
  <c r="D31" i="2"/>
  <c r="AC49" i="2" s="1"/>
  <c r="E4" i="2"/>
  <c r="B50" i="2" s="1"/>
  <c r="D19" i="2"/>
  <c r="Q49" i="2" s="1"/>
  <c r="E19" i="2"/>
  <c r="Q50" i="2" s="1"/>
  <c r="I19" i="2"/>
  <c r="Q54" i="2" s="1"/>
  <c r="G19" i="2"/>
  <c r="Q52" i="2" s="1"/>
  <c r="F19" i="2"/>
  <c r="Q51" i="2" s="1"/>
  <c r="H19" i="2"/>
  <c r="Q53" i="2" s="1"/>
  <c r="J19" i="2"/>
  <c r="Q55" i="2" s="1"/>
  <c r="G30" i="2"/>
  <c r="AB52" i="2" s="1"/>
  <c r="E30" i="2"/>
  <c r="AB50" i="2" s="1"/>
  <c r="D30" i="2"/>
  <c r="AB49" i="2" s="1"/>
  <c r="H30" i="2"/>
  <c r="AB53" i="2" s="1"/>
  <c r="I30" i="2"/>
  <c r="AB54" i="2" s="1"/>
  <c r="J30" i="2"/>
  <c r="AB55" i="2" s="1"/>
  <c r="F30" i="2"/>
  <c r="AB51" i="2" s="1"/>
  <c r="G26" i="2"/>
  <c r="X52" i="2" s="1"/>
  <c r="E26" i="2"/>
  <c r="X50" i="2" s="1"/>
  <c r="J26" i="2"/>
  <c r="X55" i="2" s="1"/>
  <c r="D26" i="2"/>
  <c r="X49" i="2" s="1"/>
  <c r="H26" i="2"/>
  <c r="X53" i="2" s="1"/>
  <c r="I26" i="2"/>
  <c r="X54" i="2" s="1"/>
  <c r="F26" i="2"/>
  <c r="X51" i="2" s="1"/>
  <c r="G22" i="2"/>
  <c r="T52" i="2" s="1"/>
  <c r="E22" i="2"/>
  <c r="T50" i="2" s="1"/>
  <c r="D22" i="2"/>
  <c r="T49" i="2" s="1"/>
  <c r="H22" i="2"/>
  <c r="T53" i="2" s="1"/>
  <c r="I22" i="2"/>
  <c r="T54" i="2" s="1"/>
  <c r="J22" i="2"/>
  <c r="T55" i="2" s="1"/>
  <c r="F22" i="2"/>
  <c r="T51" i="2" s="1"/>
  <c r="F18" i="2"/>
  <c r="P51" i="2" s="1"/>
  <c r="G18" i="2"/>
  <c r="P52" i="2" s="1"/>
  <c r="E18" i="2"/>
  <c r="P50" i="2" s="1"/>
  <c r="J18" i="2"/>
  <c r="P55" i="2" s="1"/>
  <c r="D18" i="2"/>
  <c r="P49" i="2" s="1"/>
  <c r="H18" i="2"/>
  <c r="P53" i="2" s="1"/>
  <c r="I18" i="2"/>
  <c r="P54" i="2" s="1"/>
  <c r="F14" i="2"/>
  <c r="L51" i="2" s="1"/>
  <c r="G14" i="2"/>
  <c r="L52" i="2" s="1"/>
  <c r="E14" i="2"/>
  <c r="L50" i="2" s="1"/>
  <c r="D14" i="2"/>
  <c r="L49" i="2" s="1"/>
  <c r="H14" i="2"/>
  <c r="L53" i="2" s="1"/>
  <c r="I14" i="2"/>
  <c r="L54" i="2" s="1"/>
  <c r="J14" i="2"/>
  <c r="L55" i="2" s="1"/>
  <c r="F10" i="2"/>
  <c r="H51" i="2" s="1"/>
  <c r="G10" i="2"/>
  <c r="H52" i="2" s="1"/>
  <c r="E10" i="2"/>
  <c r="H50" i="2" s="1"/>
  <c r="J10" i="2"/>
  <c r="H55" i="2" s="1"/>
  <c r="D10" i="2"/>
  <c r="H49" i="2" s="1"/>
  <c r="H10" i="2"/>
  <c r="H53" i="2" s="1"/>
  <c r="I10" i="2"/>
  <c r="H54" i="2" s="1"/>
  <c r="J31" i="2"/>
  <c r="AC55" i="2" s="1"/>
  <c r="F6" i="2"/>
  <c r="D51" i="2" s="1"/>
  <c r="G6" i="2"/>
  <c r="D52" i="2" s="1"/>
  <c r="J6" i="2"/>
  <c r="D55" i="2" s="1"/>
  <c r="D6" i="2"/>
  <c r="D49" i="2" s="1"/>
  <c r="H6" i="2"/>
  <c r="D53" i="2" s="1"/>
  <c r="E6" i="2"/>
  <c r="D50" i="2" s="1"/>
  <c r="I6" i="2"/>
  <c r="D54" i="2" s="1"/>
  <c r="G31" i="2"/>
  <c r="AC52" i="2" s="1"/>
  <c r="F32" i="2"/>
  <c r="AD51" i="2" s="1"/>
  <c r="P16" i="2"/>
  <c r="N61" i="2" s="1"/>
  <c r="L19" i="2"/>
  <c r="Q57" i="2" s="1"/>
  <c r="N14" i="2"/>
  <c r="L59" i="2" s="1"/>
  <c r="K21" i="2"/>
  <c r="S56" i="2" s="1"/>
  <c r="Q4" i="2"/>
  <c r="B62" i="2" s="1"/>
  <c r="L13" i="2"/>
  <c r="K57" i="2" s="1"/>
  <c r="L11" i="2"/>
  <c r="I57" i="2" s="1"/>
  <c r="B37" i="2" l="1"/>
  <c r="AK36" i="2" s="1"/>
  <c r="AH82" i="2" s="1"/>
  <c r="AJ35" i="2"/>
  <c r="AG81" i="2" s="1"/>
  <c r="AJ36" i="2"/>
  <c r="AH81" i="2" s="1"/>
  <c r="AJ13" i="2"/>
  <c r="K81" i="2" s="1"/>
  <c r="AJ30" i="2"/>
  <c r="AB81" i="2" s="1"/>
  <c r="AJ28" i="2"/>
  <c r="Z81" i="2" s="1"/>
  <c r="AJ14" i="2"/>
  <c r="L81" i="2" s="1"/>
  <c r="AJ22" i="2"/>
  <c r="T81" i="2" s="1"/>
  <c r="AJ20" i="2"/>
  <c r="R81" i="2" s="1"/>
  <c r="AJ18" i="2"/>
  <c r="P81" i="2" s="1"/>
  <c r="AJ12" i="2"/>
  <c r="J81" i="2" s="1"/>
  <c r="AJ29" i="2"/>
  <c r="AA81" i="2" s="1"/>
  <c r="AJ8" i="2"/>
  <c r="F81" i="2" s="1"/>
  <c r="AJ21" i="2"/>
  <c r="S81" i="2" s="1"/>
  <c r="AJ19" i="2"/>
  <c r="Q81" i="2" s="1"/>
  <c r="AJ7" i="2"/>
  <c r="E81" i="2" s="1"/>
  <c r="AJ26" i="2"/>
  <c r="X81" i="2" s="1"/>
  <c r="AJ5" i="2"/>
  <c r="C81" i="2" s="1"/>
  <c r="AJ16" i="2"/>
  <c r="N81" i="2" s="1"/>
  <c r="AJ33" i="2"/>
  <c r="AE81" i="2" s="1"/>
  <c r="AJ25" i="2"/>
  <c r="W81" i="2" s="1"/>
  <c r="AJ23" i="2"/>
  <c r="U81" i="2" s="1"/>
  <c r="AJ10" i="2"/>
  <c r="H81" i="2" s="1"/>
  <c r="AJ34" i="2"/>
  <c r="AF81" i="2" s="1"/>
  <c r="AJ24" i="2"/>
  <c r="V81" i="2" s="1"/>
  <c r="AJ17" i="2"/>
  <c r="O81" i="2" s="1"/>
  <c r="AJ11" i="2"/>
  <c r="I81" i="2" s="1"/>
  <c r="AJ9" i="2"/>
  <c r="G81" i="2" s="1"/>
  <c r="AJ6" i="2"/>
  <c r="D81" i="2" s="1"/>
  <c r="AJ4" i="2"/>
  <c r="B81" i="2" s="1"/>
  <c r="AJ15" i="2"/>
  <c r="M81" i="2" s="1"/>
  <c r="AJ32" i="2"/>
  <c r="AD81" i="2" s="1"/>
  <c r="AJ27" i="2"/>
  <c r="Y81" i="2" s="1"/>
  <c r="AJ31" i="2"/>
  <c r="AC81" i="2" s="1"/>
  <c r="AI34" i="2"/>
  <c r="AF80" i="2" s="1"/>
  <c r="I35" i="2"/>
  <c r="AG54" i="2" s="1"/>
  <c r="Q35" i="2"/>
  <c r="AG62" i="2" s="1"/>
  <c r="Y35" i="2"/>
  <c r="AG70" i="2" s="1"/>
  <c r="AG35" i="2"/>
  <c r="AG78" i="2" s="1"/>
  <c r="AC35" i="2"/>
  <c r="AG74" i="2" s="1"/>
  <c r="V35" i="2"/>
  <c r="AG67" i="2" s="1"/>
  <c r="AI35" i="2"/>
  <c r="AG80" i="2" s="1"/>
  <c r="J35" i="2"/>
  <c r="AG55" i="2" s="1"/>
  <c r="R35" i="2"/>
  <c r="AG63" i="2" s="1"/>
  <c r="Z35" i="2"/>
  <c r="AG71" i="2" s="1"/>
  <c r="AH35" i="2"/>
  <c r="AG79" i="2" s="1"/>
  <c r="L35" i="2"/>
  <c r="AG57" i="2" s="1"/>
  <c r="T35" i="2"/>
  <c r="AG65" i="2" s="1"/>
  <c r="U35" i="2"/>
  <c r="AG66" i="2" s="1"/>
  <c r="F35" i="2"/>
  <c r="AG51" i="2" s="1"/>
  <c r="W35" i="2"/>
  <c r="AG68" i="2" s="1"/>
  <c r="K35" i="2"/>
  <c r="AG56" i="2" s="1"/>
  <c r="S35" i="2"/>
  <c r="AG64" i="2" s="1"/>
  <c r="AA35" i="2"/>
  <c r="AG72" i="2" s="1"/>
  <c r="AB35" i="2"/>
  <c r="AG73" i="2" s="1"/>
  <c r="M35" i="2"/>
  <c r="AG58" i="2" s="1"/>
  <c r="N35" i="2"/>
  <c r="AG59" i="2" s="1"/>
  <c r="AE35" i="2"/>
  <c r="AG76" i="2" s="1"/>
  <c r="G35" i="2"/>
  <c r="AG52" i="2" s="1"/>
  <c r="O35" i="2"/>
  <c r="AG60" i="2" s="1"/>
  <c r="H35" i="2"/>
  <c r="AG53" i="2" s="1"/>
  <c r="P35" i="2"/>
  <c r="AG61" i="2" s="1"/>
  <c r="X35" i="2"/>
  <c r="AG69" i="2" s="1"/>
  <c r="AF35" i="2"/>
  <c r="AG77" i="2" s="1"/>
  <c r="D35" i="2"/>
  <c r="AG49" i="2" s="1"/>
  <c r="E35" i="2"/>
  <c r="AG50" i="2" s="1"/>
  <c r="AD35" i="2"/>
  <c r="AG75" i="2" s="1"/>
  <c r="AI20" i="2"/>
  <c r="R80" i="2" s="1"/>
  <c r="AI19" i="2"/>
  <c r="Q80" i="2" s="1"/>
  <c r="AI25" i="2"/>
  <c r="W80" i="2" s="1"/>
  <c r="AI17" i="2"/>
  <c r="O80" i="2" s="1"/>
  <c r="AI16" i="2"/>
  <c r="N80" i="2" s="1"/>
  <c r="AI8" i="2"/>
  <c r="F80" i="2" s="1"/>
  <c r="AI24" i="2"/>
  <c r="V80" i="2" s="1"/>
  <c r="AI5" i="2"/>
  <c r="C80" i="2" s="1"/>
  <c r="AI9" i="2"/>
  <c r="G80" i="2" s="1"/>
  <c r="AI4" i="2"/>
  <c r="B80" i="2" s="1"/>
  <c r="AI10" i="2"/>
  <c r="H80" i="2" s="1"/>
  <c r="AI21" i="2"/>
  <c r="S80" i="2" s="1"/>
  <c r="AI6" i="2"/>
  <c r="D80" i="2" s="1"/>
  <c r="AI18" i="2"/>
  <c r="P80" i="2" s="1"/>
  <c r="AI22" i="2"/>
  <c r="T80" i="2" s="1"/>
  <c r="AI7" i="2"/>
  <c r="E80" i="2" s="1"/>
  <c r="AI23" i="2"/>
  <c r="U80" i="2" s="1"/>
  <c r="AI12" i="2"/>
  <c r="J80" i="2" s="1"/>
  <c r="AI30" i="2"/>
  <c r="AB80" i="2" s="1"/>
  <c r="AI28" i="2"/>
  <c r="Z80" i="2" s="1"/>
  <c r="AI26" i="2"/>
  <c r="X80" i="2" s="1"/>
  <c r="AI14" i="2"/>
  <c r="L80" i="2" s="1"/>
  <c r="AI29" i="2"/>
  <c r="AA80" i="2" s="1"/>
  <c r="AI13" i="2"/>
  <c r="K80" i="2" s="1"/>
  <c r="AI11" i="2"/>
  <c r="I80" i="2" s="1"/>
  <c r="AI27" i="2"/>
  <c r="Y80" i="2" s="1"/>
  <c r="AI32" i="2"/>
  <c r="AD80" i="2" s="1"/>
  <c r="AI33" i="2"/>
  <c r="AE80" i="2" s="1"/>
  <c r="AI15" i="2"/>
  <c r="M80" i="2" s="1"/>
  <c r="AI31" i="2"/>
  <c r="AC80" i="2" s="1"/>
  <c r="AG32" i="2"/>
  <c r="AD78" i="2" s="1"/>
  <c r="AG24" i="2"/>
  <c r="V78" i="2" s="1"/>
  <c r="AG20" i="2"/>
  <c r="R78" i="2" s="1"/>
  <c r="AG16" i="2"/>
  <c r="N78" i="2" s="1"/>
  <c r="AG12" i="2"/>
  <c r="J78" i="2" s="1"/>
  <c r="AG8" i="2"/>
  <c r="F78" i="2" s="1"/>
  <c r="AG4" i="2"/>
  <c r="B78" i="2" s="1"/>
  <c r="AC33" i="2"/>
  <c r="AE74" i="2" s="1"/>
  <c r="Y33" i="2"/>
  <c r="AE70" i="2" s="1"/>
  <c r="U33" i="2"/>
  <c r="AE66" i="2" s="1"/>
  <c r="Q33" i="2"/>
  <c r="AE62" i="2" s="1"/>
  <c r="M33" i="2"/>
  <c r="AE58" i="2" s="1"/>
  <c r="I33" i="2"/>
  <c r="AE54" i="2" s="1"/>
  <c r="E33" i="2"/>
  <c r="AE50" i="2" s="1"/>
  <c r="AG22" i="2"/>
  <c r="T78" i="2" s="1"/>
  <c r="AG14" i="2"/>
  <c r="L78" i="2" s="1"/>
  <c r="AG6" i="2"/>
  <c r="D78" i="2" s="1"/>
  <c r="AE33" i="2"/>
  <c r="AE76" i="2" s="1"/>
  <c r="W33" i="2"/>
  <c r="AE68" i="2" s="1"/>
  <c r="O33" i="2"/>
  <c r="AE60" i="2" s="1"/>
  <c r="G33" i="2"/>
  <c r="AE52" i="2" s="1"/>
  <c r="AG21" i="2"/>
  <c r="S78" i="2" s="1"/>
  <c r="AG13" i="2"/>
  <c r="K78" i="2" s="1"/>
  <c r="AG5" i="2"/>
  <c r="C78" i="2" s="1"/>
  <c r="AD33" i="2"/>
  <c r="AE75" i="2" s="1"/>
  <c r="V33" i="2"/>
  <c r="AE67" i="2" s="1"/>
  <c r="N33" i="2"/>
  <c r="AE59" i="2" s="1"/>
  <c r="F33" i="2"/>
  <c r="AE51" i="2" s="1"/>
  <c r="AG23" i="2"/>
  <c r="U78" i="2" s="1"/>
  <c r="AG19" i="2"/>
  <c r="Q78" i="2" s="1"/>
  <c r="AG15" i="2"/>
  <c r="M78" i="2" s="1"/>
  <c r="AG11" i="2"/>
  <c r="I78" i="2" s="1"/>
  <c r="AG7" i="2"/>
  <c r="E78" i="2" s="1"/>
  <c r="AF33" i="2"/>
  <c r="AE77" i="2" s="1"/>
  <c r="AB33" i="2"/>
  <c r="AE73" i="2" s="1"/>
  <c r="X33" i="2"/>
  <c r="AE69" i="2" s="1"/>
  <c r="T33" i="2"/>
  <c r="AE65" i="2" s="1"/>
  <c r="P33" i="2"/>
  <c r="AE61" i="2" s="1"/>
  <c r="L33" i="2"/>
  <c r="AE57" i="2" s="1"/>
  <c r="H33" i="2"/>
  <c r="AE53" i="2" s="1"/>
  <c r="D33" i="2"/>
  <c r="AE49" i="2" s="1"/>
  <c r="AG18" i="2"/>
  <c r="P78" i="2" s="1"/>
  <c r="AG10" i="2"/>
  <c r="H78" i="2" s="1"/>
  <c r="AA33" i="2"/>
  <c r="AE72" i="2" s="1"/>
  <c r="S33" i="2"/>
  <c r="AE64" i="2" s="1"/>
  <c r="K33" i="2"/>
  <c r="AE56" i="2" s="1"/>
  <c r="AG25" i="2"/>
  <c r="W78" i="2" s="1"/>
  <c r="AG17" i="2"/>
  <c r="O78" i="2" s="1"/>
  <c r="AG9" i="2"/>
  <c r="G78" i="2" s="1"/>
  <c r="AG33" i="2"/>
  <c r="AE78" i="2" s="1"/>
  <c r="Z33" i="2"/>
  <c r="AE71" i="2" s="1"/>
  <c r="R33" i="2"/>
  <c r="AE63" i="2" s="1"/>
  <c r="J33" i="2"/>
  <c r="AE55" i="2" s="1"/>
  <c r="AG31" i="2"/>
  <c r="AC78" i="2" s="1"/>
  <c r="AG29" i="2"/>
  <c r="AA78" i="2" s="1"/>
  <c r="AG28" i="2"/>
  <c r="Z78" i="2" s="1"/>
  <c r="AG27" i="2"/>
  <c r="Y78" i="2" s="1"/>
  <c r="AG26" i="2"/>
  <c r="X78" i="2" s="1"/>
  <c r="AF31" i="2"/>
  <c r="AC77" i="2" s="1"/>
  <c r="AC29" i="2"/>
  <c r="AA74" i="2" s="1"/>
  <c r="AB29" i="2"/>
  <c r="AA73" i="2" s="1"/>
  <c r="W29" i="2"/>
  <c r="AA68" i="2" s="1"/>
  <c r="Y29" i="2"/>
  <c r="AA70" i="2" s="1"/>
  <c r="P29" i="2"/>
  <c r="AA61" i="2" s="1"/>
  <c r="K29" i="2"/>
  <c r="AA56" i="2" s="1"/>
  <c r="T29" i="2"/>
  <c r="AA65" i="2" s="1"/>
  <c r="M29" i="2"/>
  <c r="AA58" i="2" s="1"/>
  <c r="X29" i="2"/>
  <c r="AA69" i="2" s="1"/>
  <c r="AC27" i="2"/>
  <c r="Y74" i="2" s="1"/>
  <c r="AC26" i="2"/>
  <c r="X74" i="2" s="1"/>
  <c r="AC14" i="2"/>
  <c r="L74" i="2" s="1"/>
  <c r="AC19" i="2"/>
  <c r="Q74" i="2" s="1"/>
  <c r="L29" i="2"/>
  <c r="AA57" i="2" s="1"/>
  <c r="AC24" i="2"/>
  <c r="V74" i="2" s="1"/>
  <c r="AC16" i="2"/>
  <c r="N74" i="2" s="1"/>
  <c r="AC8" i="2"/>
  <c r="F74" i="2" s="1"/>
  <c r="U29" i="2"/>
  <c r="AA66" i="2" s="1"/>
  <c r="AC23" i="2"/>
  <c r="U74" i="2" s="1"/>
  <c r="AC15" i="2"/>
  <c r="M74" i="2" s="1"/>
  <c r="AC4" i="2"/>
  <c r="B74" i="2" s="1"/>
  <c r="Z29" i="2"/>
  <c r="AA71" i="2" s="1"/>
  <c r="AC18" i="2"/>
  <c r="P74" i="2" s="1"/>
  <c r="AC10" i="2"/>
  <c r="H74" i="2" s="1"/>
  <c r="AC25" i="2"/>
  <c r="W74" i="2" s="1"/>
  <c r="AC9" i="2"/>
  <c r="G74" i="2" s="1"/>
  <c r="AC20" i="2"/>
  <c r="R74" i="2" s="1"/>
  <c r="AC7" i="2"/>
  <c r="E74" i="2" s="1"/>
  <c r="O29" i="2"/>
  <c r="AA60" i="2" s="1"/>
  <c r="AC21" i="2"/>
  <c r="S74" i="2" s="1"/>
  <c r="Q29" i="2"/>
  <c r="AA62" i="2" s="1"/>
  <c r="R29" i="2"/>
  <c r="AA63" i="2" s="1"/>
  <c r="V29" i="2"/>
  <c r="AA67" i="2" s="1"/>
  <c r="AC28" i="2"/>
  <c r="Z74" i="2" s="1"/>
  <c r="AA29" i="2"/>
  <c r="AA72" i="2" s="1"/>
  <c r="AC12" i="2"/>
  <c r="J74" i="2" s="1"/>
  <c r="S29" i="2"/>
  <c r="AA64" i="2" s="1"/>
  <c r="AC11" i="2"/>
  <c r="I74" i="2" s="1"/>
  <c r="AC17" i="2"/>
  <c r="O74" i="2" s="1"/>
  <c r="AC22" i="2"/>
  <c r="T74" i="2" s="1"/>
  <c r="N29" i="2"/>
  <c r="AA59" i="2" s="1"/>
  <c r="AC6" i="2"/>
  <c r="D74" i="2" s="1"/>
  <c r="AC13" i="2"/>
  <c r="K74" i="2" s="1"/>
  <c r="AC5" i="2"/>
  <c r="C74" i="2" s="1"/>
  <c r="N18" i="2"/>
  <c r="P59" i="2" s="1"/>
  <c r="T10" i="2"/>
  <c r="H65" i="2" s="1"/>
  <c r="W10" i="2"/>
  <c r="H68" i="2" s="1"/>
  <c r="S4" i="2"/>
  <c r="B64" i="2" s="1"/>
  <c r="T5" i="2"/>
  <c r="C65" i="2" s="1"/>
  <c r="L14" i="2"/>
  <c r="L57" i="2" s="1"/>
  <c r="W20" i="2"/>
  <c r="R68" i="2" s="1"/>
  <c r="S11" i="2"/>
  <c r="I64" i="2" s="1"/>
  <c r="S15" i="2"/>
  <c r="M64" i="2" s="1"/>
  <c r="M13" i="2"/>
  <c r="K58" i="2" s="1"/>
  <c r="M14" i="2"/>
  <c r="L58" i="2" s="1"/>
  <c r="T12" i="2"/>
  <c r="J65" i="2" s="1"/>
  <c r="T19" i="2"/>
  <c r="Q65" i="2" s="1"/>
  <c r="W13" i="2"/>
  <c r="K68" i="2" s="1"/>
  <c r="T14" i="2"/>
  <c r="L65" i="2" s="1"/>
  <c r="L20" i="2"/>
  <c r="R57" i="2" s="1"/>
  <c r="S14" i="2"/>
  <c r="L64" i="2" s="1"/>
  <c r="W14" i="2"/>
  <c r="L68" i="2" s="1"/>
  <c r="N8" i="2"/>
  <c r="F59" i="2" s="1"/>
  <c r="P9" i="2"/>
  <c r="G61" i="2" s="1"/>
  <c r="O17" i="2"/>
  <c r="O60" i="2" s="1"/>
  <c r="L18" i="2"/>
  <c r="P57" i="2" s="1"/>
  <c r="O22" i="2"/>
  <c r="T60" i="2" s="1"/>
  <c r="L8" i="2"/>
  <c r="F57" i="2" s="1"/>
  <c r="W17" i="2"/>
  <c r="O68" i="2" s="1"/>
  <c r="O5" i="2"/>
  <c r="C60" i="2" s="1"/>
  <c r="Q14" i="2"/>
  <c r="L62" i="2" s="1"/>
  <c r="U18" i="2"/>
  <c r="P66" i="2" s="1"/>
  <c r="P21" i="2"/>
  <c r="S61" i="2" s="1"/>
  <c r="Q21" i="2"/>
  <c r="S62" i="2" s="1"/>
  <c r="U12" i="2"/>
  <c r="J66" i="2" s="1"/>
  <c r="U11" i="2"/>
  <c r="I66" i="2" s="1"/>
  <c r="U7" i="2"/>
  <c r="E66" i="2" s="1"/>
  <c r="U8" i="2"/>
  <c r="F66" i="2" s="1"/>
  <c r="M18" i="2"/>
  <c r="P58" i="2" s="1"/>
  <c r="R21" i="2"/>
  <c r="S63" i="2" s="1"/>
  <c r="W21" i="2"/>
  <c r="S68" i="2" s="1"/>
  <c r="K17" i="2"/>
  <c r="O56" i="2" s="1"/>
  <c r="N13" i="2"/>
  <c r="K59" i="2" s="1"/>
  <c r="K13" i="2"/>
  <c r="K56" i="2" s="1"/>
  <c r="Q12" i="2"/>
  <c r="J62" i="2" s="1"/>
  <c r="W12" i="2"/>
  <c r="J68" i="2" s="1"/>
  <c r="L4" i="2"/>
  <c r="B57" i="2" s="1"/>
  <c r="K19" i="2"/>
  <c r="Q56" i="2" s="1"/>
  <c r="N11" i="2"/>
  <c r="I59" i="2" s="1"/>
  <c r="R11" i="2"/>
  <c r="I63" i="2" s="1"/>
  <c r="M8" i="2"/>
  <c r="F58" i="2" s="1"/>
  <c r="K16" i="2"/>
  <c r="N56" i="2" s="1"/>
  <c r="R18" i="2"/>
  <c r="P63" i="2" s="1"/>
  <c r="K7" i="2"/>
  <c r="E56" i="2" s="1"/>
  <c r="M21" i="2"/>
  <c r="S58" i="2" s="1"/>
  <c r="U21" i="2"/>
  <c r="S66" i="2" s="1"/>
  <c r="L17" i="2"/>
  <c r="O57" i="2" s="1"/>
  <c r="U17" i="2"/>
  <c r="O66" i="2" s="1"/>
  <c r="O13" i="2"/>
  <c r="K60" i="2" s="1"/>
  <c r="U13" i="2"/>
  <c r="K66" i="2" s="1"/>
  <c r="L9" i="2"/>
  <c r="G57" i="2" s="1"/>
  <c r="L5" i="2"/>
  <c r="C57" i="2" s="1"/>
  <c r="R12" i="2"/>
  <c r="J63" i="2" s="1"/>
  <c r="M12" i="2"/>
  <c r="J58" i="2" s="1"/>
  <c r="K20" i="2"/>
  <c r="R56" i="2" s="1"/>
  <c r="K18" i="2"/>
  <c r="P56" i="2" s="1"/>
  <c r="T15" i="2"/>
  <c r="M65" i="2" s="1"/>
  <c r="Q11" i="2"/>
  <c r="I62" i="2" s="1"/>
  <c r="K11" i="2"/>
  <c r="I56" i="2" s="1"/>
  <c r="K8" i="2"/>
  <c r="F56" i="2" s="1"/>
  <c r="Q18" i="2"/>
  <c r="P62" i="2" s="1"/>
  <c r="R9" i="2"/>
  <c r="G63" i="2" s="1"/>
  <c r="M10" i="2"/>
  <c r="H58" i="2" s="1"/>
  <c r="T18" i="2"/>
  <c r="P65" i="2" s="1"/>
  <c r="L21" i="2"/>
  <c r="S57" i="2" s="1"/>
  <c r="M17" i="2"/>
  <c r="O58" i="2" s="1"/>
  <c r="R17" i="2"/>
  <c r="O63" i="2" s="1"/>
  <c r="R13" i="2"/>
  <c r="K63" i="2" s="1"/>
  <c r="K5" i="2"/>
  <c r="C56" i="2" s="1"/>
  <c r="L12" i="2"/>
  <c r="J57" i="2" s="1"/>
  <c r="K12" i="2"/>
  <c r="J56" i="2" s="1"/>
  <c r="R20" i="2"/>
  <c r="R63" i="2" s="1"/>
  <c r="K4" i="2"/>
  <c r="B56" i="2" s="1"/>
  <c r="M11" i="2"/>
  <c r="I58" i="2" s="1"/>
  <c r="T7" i="2"/>
  <c r="E65" i="2" s="1"/>
  <c r="V6" i="2"/>
  <c r="D67" i="2" s="1"/>
  <c r="K6" i="2"/>
  <c r="D56" i="2" s="1"/>
  <c r="S6" i="2"/>
  <c r="D64" i="2" s="1"/>
  <c r="V16" i="2"/>
  <c r="N67" i="2" s="1"/>
  <c r="S16" i="2"/>
  <c r="N64" i="2" s="1"/>
  <c r="L16" i="2"/>
  <c r="N57" i="2" s="1"/>
  <c r="O16" i="2"/>
  <c r="N60" i="2" s="1"/>
  <c r="P12" i="2"/>
  <c r="J61" i="2" s="1"/>
  <c r="W16" i="2"/>
  <c r="N68" i="2" s="1"/>
  <c r="M16" i="2"/>
  <c r="N58" i="2" s="1"/>
  <c r="T16" i="2"/>
  <c r="N65" i="2" s="1"/>
  <c r="P17" i="2"/>
  <c r="O61" i="2" s="1"/>
  <c r="N9" i="2"/>
  <c r="G59" i="2" s="1"/>
  <c r="V9" i="2"/>
  <c r="G67" i="2" s="1"/>
  <c r="O14" i="2"/>
  <c r="L60" i="2" s="1"/>
  <c r="V14" i="2"/>
  <c r="L67" i="2" s="1"/>
  <c r="P20" i="2"/>
  <c r="R61" i="2" s="1"/>
  <c r="Q6" i="2"/>
  <c r="D62" i="2" s="1"/>
  <c r="P18" i="2"/>
  <c r="P61" i="2" s="1"/>
  <c r="V19" i="2"/>
  <c r="Q67" i="2" s="1"/>
  <c r="R15" i="2"/>
  <c r="M63" i="2" s="1"/>
  <c r="S7" i="2"/>
  <c r="E64" i="2" s="1"/>
  <c r="U16" i="2"/>
  <c r="N66" i="2" s="1"/>
  <c r="Q16" i="2"/>
  <c r="N62" i="2" s="1"/>
  <c r="R5" i="2"/>
  <c r="C63" i="2" s="1"/>
  <c r="Q5" i="2"/>
  <c r="C62" i="2" s="1"/>
  <c r="V5" i="2"/>
  <c r="C67" i="2" s="1"/>
  <c r="T22" i="2"/>
  <c r="T65" i="2" s="1"/>
  <c r="S22" i="2"/>
  <c r="T64" i="2" s="1"/>
  <c r="K22" i="2"/>
  <c r="T56" i="2" s="1"/>
  <c r="V21" i="2"/>
  <c r="S67" i="2" s="1"/>
  <c r="P22" i="2"/>
  <c r="T61" i="2" s="1"/>
  <c r="Q22" i="2"/>
  <c r="T62" i="2" s="1"/>
  <c r="R22" i="2"/>
  <c r="T63" i="2" s="1"/>
  <c r="V8" i="2"/>
  <c r="F67" i="2" s="1"/>
  <c r="V11" i="2"/>
  <c r="I67" i="2" s="1"/>
  <c r="R7" i="2"/>
  <c r="E63" i="2" s="1"/>
  <c r="O7" i="2"/>
  <c r="E60" i="2" s="1"/>
  <c r="M7" i="2"/>
  <c r="E58" i="2" s="1"/>
  <c r="V7" i="2"/>
  <c r="E67" i="2" s="1"/>
  <c r="Q7" i="2"/>
  <c r="E62" i="2" s="1"/>
  <c r="P7" i="2"/>
  <c r="E61" i="2" s="1"/>
  <c r="P13" i="2"/>
  <c r="K61" i="2" s="1"/>
  <c r="O6" i="2"/>
  <c r="D60" i="2" s="1"/>
  <c r="O10" i="2"/>
  <c r="H60" i="2" s="1"/>
  <c r="P10" i="2"/>
  <c r="H61" i="2" s="1"/>
  <c r="R10" i="2"/>
  <c r="H63" i="2" s="1"/>
  <c r="V10" i="2"/>
  <c r="H67" i="2" s="1"/>
  <c r="N10" i="2"/>
  <c r="H59" i="2" s="1"/>
  <c r="Q10" i="2"/>
  <c r="H62" i="2" s="1"/>
  <c r="S10" i="2"/>
  <c r="H64" i="2" s="1"/>
  <c r="V4" i="2"/>
  <c r="B67" i="2" s="1"/>
  <c r="O4" i="2"/>
  <c r="B60" i="2" s="1"/>
  <c r="T4" i="2"/>
  <c r="B65" i="2" s="1"/>
  <c r="P4" i="2"/>
  <c r="B61" i="2" s="1"/>
  <c r="V12" i="2"/>
  <c r="J67" i="2" s="1"/>
  <c r="T6" i="2"/>
  <c r="D65" i="2" s="1"/>
  <c r="N6" i="2"/>
  <c r="D59" i="2" s="1"/>
  <c r="V15" i="2"/>
  <c r="M67" i="2" s="1"/>
  <c r="M22" i="2"/>
  <c r="T58" i="2" s="1"/>
  <c r="V22" i="2"/>
  <c r="T67" i="2" s="1"/>
  <c r="O11" i="2"/>
  <c r="I60" i="2" s="1"/>
  <c r="M15" i="2"/>
  <c r="M58" i="2" s="1"/>
  <c r="U15" i="2"/>
  <c r="M66" i="2" s="1"/>
  <c r="N15" i="2"/>
  <c r="M59" i="2" s="1"/>
  <c r="O18" i="2"/>
  <c r="P60" i="2" s="1"/>
  <c r="P15" i="2"/>
  <c r="M61" i="2" s="1"/>
  <c r="L15" i="2"/>
  <c r="M57" i="2" s="1"/>
  <c r="K15" i="2"/>
  <c r="M56" i="2" s="1"/>
  <c r="W9" i="2"/>
  <c r="G68" i="2" s="1"/>
  <c r="U9" i="2"/>
  <c r="G66" i="2" s="1"/>
  <c r="S9" i="2"/>
  <c r="G64" i="2" s="1"/>
  <c r="T9" i="2"/>
  <c r="G65" i="2" s="1"/>
  <c r="P19" i="2"/>
  <c r="Q61" i="2" s="1"/>
  <c r="U19" i="2"/>
  <c r="Q66" i="2" s="1"/>
  <c r="N19" i="2"/>
  <c r="Q59" i="2" s="1"/>
  <c r="S13" i="2"/>
  <c r="K64" i="2" s="1"/>
  <c r="S8" i="2"/>
  <c r="F64" i="2" s="1"/>
  <c r="T11" i="2"/>
  <c r="I65" i="2" s="1"/>
  <c r="V20" i="2"/>
  <c r="R67" i="2" s="1"/>
  <c r="Q20" i="2"/>
  <c r="R62" i="2" s="1"/>
  <c r="O20" i="2"/>
  <c r="R60" i="2" s="1"/>
  <c r="M20" i="2"/>
  <c r="R58" i="2" s="1"/>
  <c r="O21" i="2"/>
  <c r="S60" i="2" s="1"/>
  <c r="T21" i="2"/>
  <c r="S65" i="2" s="1"/>
  <c r="S21" i="2"/>
  <c r="S64" i="2" s="1"/>
  <c r="T17" i="2"/>
  <c r="O65" i="2" s="1"/>
  <c r="T13" i="2"/>
  <c r="K65" i="2" s="1"/>
  <c r="O9" i="2"/>
  <c r="G60" i="2" s="1"/>
  <c r="M9" i="2"/>
  <c r="G58" i="2" s="1"/>
  <c r="P5" i="2"/>
  <c r="C61" i="2" s="1"/>
  <c r="S5" i="2"/>
  <c r="C64" i="2" s="1"/>
  <c r="U5" i="2"/>
  <c r="C66" i="2" s="1"/>
  <c r="S12" i="2"/>
  <c r="J64" i="2" s="1"/>
  <c r="O12" i="2"/>
  <c r="J60" i="2" s="1"/>
  <c r="U20" i="2"/>
  <c r="R66" i="2" s="1"/>
  <c r="N20" i="2"/>
  <c r="R59" i="2" s="1"/>
  <c r="R6" i="2"/>
  <c r="D63" i="2" s="1"/>
  <c r="P6" i="2"/>
  <c r="D61" i="2" s="1"/>
  <c r="U6" i="2"/>
  <c r="D66" i="2" s="1"/>
  <c r="U4" i="2"/>
  <c r="B66" i="2" s="1"/>
  <c r="N4" i="2"/>
  <c r="B59" i="2" s="1"/>
  <c r="M4" i="2"/>
  <c r="B58" i="2" s="1"/>
  <c r="S19" i="2"/>
  <c r="Q64" i="2" s="1"/>
  <c r="M19" i="2"/>
  <c r="Q58" i="2" s="1"/>
  <c r="Q15" i="2"/>
  <c r="M62" i="2" s="1"/>
  <c r="W15" i="2"/>
  <c r="M68" i="2" s="1"/>
  <c r="N7" i="2"/>
  <c r="E59" i="2" s="1"/>
  <c r="W7" i="2"/>
  <c r="E68" i="2" s="1"/>
  <c r="K10" i="2"/>
  <c r="H56" i="2" s="1"/>
  <c r="N16" i="2"/>
  <c r="N59" i="2" s="1"/>
  <c r="W22" i="2"/>
  <c r="T68" i="2" s="1"/>
  <c r="U22" i="2"/>
  <c r="T66" i="2" s="1"/>
  <c r="S18" i="2"/>
  <c r="P64" i="2" s="1"/>
  <c r="S17" i="2"/>
  <c r="O64" i="2" s="1"/>
  <c r="V13" i="2"/>
  <c r="K67" i="2" s="1"/>
  <c r="K9" i="2"/>
  <c r="G56" i="2" s="1"/>
  <c r="Q9" i="2"/>
  <c r="G62" i="2" s="1"/>
  <c r="M5" i="2"/>
  <c r="C58" i="2" s="1"/>
  <c r="N5" i="2"/>
  <c r="C59" i="2" s="1"/>
  <c r="W5" i="2"/>
  <c r="C68" i="2" s="1"/>
  <c r="P14" i="2"/>
  <c r="L61" i="2" s="1"/>
  <c r="S20" i="2"/>
  <c r="R64" i="2" s="1"/>
  <c r="T20" i="2"/>
  <c r="R65" i="2" s="1"/>
  <c r="L6" i="2"/>
  <c r="D57" i="2" s="1"/>
  <c r="M6" i="2"/>
  <c r="D58" i="2" s="1"/>
  <c r="V18" i="2"/>
  <c r="P67" i="2" s="1"/>
  <c r="W4" i="2"/>
  <c r="B68" i="2" s="1"/>
  <c r="R4" i="2"/>
  <c r="B63" i="2" s="1"/>
  <c r="O19" i="2"/>
  <c r="Q60" i="2" s="1"/>
  <c r="Q19" i="2"/>
  <c r="Q62" i="2" s="1"/>
  <c r="R19" i="2"/>
  <c r="Q63" i="2" s="1"/>
  <c r="O15" i="2"/>
  <c r="M60" i="2" s="1"/>
  <c r="P11" i="2"/>
  <c r="I61" i="2" s="1"/>
  <c r="L7" i="2"/>
  <c r="E57" i="2" s="1"/>
  <c r="L10" i="2"/>
  <c r="H57" i="2" s="1"/>
  <c r="U10" i="2"/>
  <c r="H66" i="2" s="1"/>
  <c r="P8" i="2"/>
  <c r="F61" i="2" s="1"/>
  <c r="O8" i="2"/>
  <c r="F60" i="2" s="1"/>
  <c r="R16" i="2"/>
  <c r="N63" i="2" s="1"/>
  <c r="N22" i="2"/>
  <c r="T59" i="2" s="1"/>
  <c r="L22" i="2"/>
  <c r="T57" i="2" s="1"/>
  <c r="N21" i="2"/>
  <c r="S59" i="2" s="1"/>
  <c r="V17" i="2"/>
  <c r="O67" i="2" s="1"/>
  <c r="Q17" i="2"/>
  <c r="O62" i="2" s="1"/>
  <c r="N17" i="2"/>
  <c r="O59" i="2" s="1"/>
  <c r="Q13" i="2"/>
  <c r="K62" i="2" s="1"/>
  <c r="R14" i="2"/>
  <c r="L63" i="2" s="1"/>
  <c r="K14" i="2"/>
  <c r="L56" i="2" s="1"/>
  <c r="U14" i="2"/>
  <c r="L66" i="2" s="1"/>
  <c r="N12" i="2"/>
  <c r="J59" i="2" s="1"/>
  <c r="R8" i="2"/>
  <c r="F63" i="2" s="1"/>
  <c r="Q8" i="2"/>
  <c r="F62" i="2" s="1"/>
  <c r="T8" i="2"/>
  <c r="F65" i="2" s="1"/>
  <c r="W6" i="2"/>
  <c r="D68" i="2" s="1"/>
  <c r="W19" i="2"/>
  <c r="Q68" i="2" s="1"/>
  <c r="W11" i="2"/>
  <c r="I68" i="2" s="1"/>
  <c r="W8" i="2"/>
  <c r="F68" i="2" s="1"/>
  <c r="L23" i="2"/>
  <c r="U57" i="2" s="1"/>
  <c r="M23" i="2"/>
  <c r="U58" i="2" s="1"/>
  <c r="N23" i="2"/>
  <c r="U59" i="2" s="1"/>
  <c r="O23" i="2"/>
  <c r="U60" i="2" s="1"/>
  <c r="P23" i="2"/>
  <c r="U61" i="2" s="1"/>
  <c r="Q23" i="2"/>
  <c r="U62" i="2" s="1"/>
  <c r="R23" i="2"/>
  <c r="U63" i="2" s="1"/>
  <c r="S23" i="2"/>
  <c r="U64" i="2" s="1"/>
  <c r="T23" i="2"/>
  <c r="U65" i="2" s="1"/>
  <c r="U23" i="2"/>
  <c r="U66" i="2" s="1"/>
  <c r="V23" i="2"/>
  <c r="U67" i="2" s="1"/>
  <c r="W23" i="2"/>
  <c r="U68" i="2" s="1"/>
  <c r="K23" i="2"/>
  <c r="U56" i="2" s="1"/>
  <c r="W18" i="2"/>
  <c r="P68" i="2" s="1"/>
  <c r="AK10" i="2" l="1"/>
  <c r="H82" i="2" s="1"/>
  <c r="AK20" i="2"/>
  <c r="R82" i="2" s="1"/>
  <c r="AK30" i="2"/>
  <c r="AB82" i="2" s="1"/>
  <c r="F37" i="2"/>
  <c r="AI51" i="2" s="1"/>
  <c r="AC37" i="2"/>
  <c r="AI74" i="2" s="1"/>
  <c r="S37" i="2"/>
  <c r="AI64" i="2" s="1"/>
  <c r="I37" i="2"/>
  <c r="AI54" i="2" s="1"/>
  <c r="AK12" i="2"/>
  <c r="J82" i="2" s="1"/>
  <c r="D37" i="2"/>
  <c r="AI49" i="2" s="1"/>
  <c r="G37" i="2"/>
  <c r="AI52" i="2" s="1"/>
  <c r="Z37" i="2"/>
  <c r="AI71" i="2" s="1"/>
  <c r="N37" i="2"/>
  <c r="AI59" i="2" s="1"/>
  <c r="AK16" i="2"/>
  <c r="N82" i="2" s="1"/>
  <c r="AG37" i="2"/>
  <c r="AI78" i="2" s="1"/>
  <c r="AK17" i="2"/>
  <c r="O82" i="2" s="1"/>
  <c r="AK5" i="2"/>
  <c r="C82" i="2" s="1"/>
  <c r="AK9" i="2"/>
  <c r="G82" i="2" s="1"/>
  <c r="T37" i="2"/>
  <c r="AI65" i="2" s="1"/>
  <c r="AK11" i="2"/>
  <c r="I82" i="2" s="1"/>
  <c r="AK21" i="2"/>
  <c r="S82" i="2" s="1"/>
  <c r="AK31" i="2"/>
  <c r="AC82" i="2" s="1"/>
  <c r="E37" i="2"/>
  <c r="AI50" i="2" s="1"/>
  <c r="AB37" i="2"/>
  <c r="AI73" i="2" s="1"/>
  <c r="R37" i="2"/>
  <c r="AI63" i="2" s="1"/>
  <c r="H37" i="2"/>
  <c r="AI53" i="2" s="1"/>
  <c r="AK32" i="2"/>
  <c r="AD82" i="2" s="1"/>
  <c r="Q37" i="2"/>
  <c r="AI62" i="2" s="1"/>
  <c r="AK23" i="2"/>
  <c r="U82" i="2" s="1"/>
  <c r="AK35" i="2"/>
  <c r="AG82" i="2" s="1"/>
  <c r="AK37" i="2"/>
  <c r="AI82" i="2" s="1"/>
  <c r="L37" i="2"/>
  <c r="AI57" i="2" s="1"/>
  <c r="K37" i="2"/>
  <c r="AI56" i="2" s="1"/>
  <c r="AK19" i="2"/>
  <c r="Q82" i="2" s="1"/>
  <c r="AK22" i="2"/>
  <c r="T82" i="2" s="1"/>
  <c r="AA37" i="2"/>
  <c r="AI72" i="2" s="1"/>
  <c r="AK33" i="2"/>
  <c r="AE82" i="2" s="1"/>
  <c r="AK25" i="2"/>
  <c r="W82" i="2" s="1"/>
  <c r="X37" i="2"/>
  <c r="AI69" i="2" s="1"/>
  <c r="M37" i="2"/>
  <c r="AI58" i="2" s="1"/>
  <c r="AK27" i="2"/>
  <c r="Y82" i="2" s="1"/>
  <c r="AK18" i="2"/>
  <c r="P82" i="2" s="1"/>
  <c r="AK4" i="2"/>
  <c r="B82" i="2" s="1"/>
  <c r="AK13" i="2"/>
  <c r="K82" i="2" s="1"/>
  <c r="AJ37" i="2"/>
  <c r="AI81" i="2" s="1"/>
  <c r="P37" i="2"/>
  <c r="AI61" i="2" s="1"/>
  <c r="W37" i="2"/>
  <c r="AI68" i="2" s="1"/>
  <c r="AK7" i="2"/>
  <c r="E82" i="2" s="1"/>
  <c r="AK8" i="2"/>
  <c r="F82" i="2" s="1"/>
  <c r="AE37" i="2"/>
  <c r="AI76" i="2" s="1"/>
  <c r="AD37" i="2"/>
  <c r="AI75" i="2" s="1"/>
  <c r="AK14" i="2"/>
  <c r="L82" i="2" s="1"/>
  <c r="AK24" i="2"/>
  <c r="V82" i="2" s="1"/>
  <c r="AK34" i="2"/>
  <c r="AF82" i="2" s="1"/>
  <c r="AI37" i="2"/>
  <c r="AI80" i="2" s="1"/>
  <c r="Y37" i="2"/>
  <c r="AI70" i="2" s="1"/>
  <c r="O37" i="2"/>
  <c r="AI60" i="2" s="1"/>
  <c r="AH37" i="2"/>
  <c r="AI79" i="2" s="1"/>
  <c r="AK6" i="2"/>
  <c r="D82" i="2" s="1"/>
  <c r="AK26" i="2"/>
  <c r="X82" i="2" s="1"/>
  <c r="V37" i="2"/>
  <c r="AI67" i="2" s="1"/>
  <c r="U37" i="2"/>
  <c r="AI66" i="2" s="1"/>
  <c r="J37" i="2"/>
  <c r="AI55" i="2" s="1"/>
  <c r="AK15" i="2"/>
  <c r="M82" i="2" s="1"/>
  <c r="AF37" i="2"/>
  <c r="AI77" i="2" s="1"/>
  <c r="AK28" i="2"/>
  <c r="Z82" i="2" s="1"/>
  <c r="AK29" i="2"/>
  <c r="AA82" i="2" s="1"/>
  <c r="D36" i="2"/>
  <c r="AH49" i="2" s="1"/>
  <c r="L36" i="2"/>
  <c r="AH57" i="2" s="1"/>
  <c r="T36" i="2"/>
  <c r="AH65" i="2" s="1"/>
  <c r="AB36" i="2"/>
  <c r="AH73" i="2" s="1"/>
  <c r="E36" i="2"/>
  <c r="AH50" i="2" s="1"/>
  <c r="M36" i="2"/>
  <c r="AH58" i="2" s="1"/>
  <c r="U36" i="2"/>
  <c r="AH66" i="2" s="1"/>
  <c r="AC36" i="2"/>
  <c r="AH74" i="2" s="1"/>
  <c r="F36" i="2"/>
  <c r="AH51" i="2" s="1"/>
  <c r="N36" i="2"/>
  <c r="AH59" i="2" s="1"/>
  <c r="V36" i="2"/>
  <c r="AH67" i="2" s="1"/>
  <c r="AD36" i="2"/>
  <c r="AH75" i="2" s="1"/>
  <c r="G36" i="2"/>
  <c r="AH52" i="2" s="1"/>
  <c r="O36" i="2"/>
  <c r="AH60" i="2" s="1"/>
  <c r="W36" i="2"/>
  <c r="AH68" i="2" s="1"/>
  <c r="AE36" i="2"/>
  <c r="AH76" i="2" s="1"/>
  <c r="H36" i="2"/>
  <c r="AH53" i="2" s="1"/>
  <c r="P36" i="2"/>
  <c r="AH61" i="2" s="1"/>
  <c r="X36" i="2"/>
  <c r="AH69" i="2" s="1"/>
  <c r="AF36" i="2"/>
  <c r="AH77" i="2" s="1"/>
  <c r="I36" i="2"/>
  <c r="AH54" i="2" s="1"/>
  <c r="Q36" i="2"/>
  <c r="AH62" i="2" s="1"/>
  <c r="Y36" i="2"/>
  <c r="AH70" i="2" s="1"/>
  <c r="AG36" i="2"/>
  <c r="AH78" i="2" s="1"/>
  <c r="J36" i="2"/>
  <c r="AH55" i="2" s="1"/>
  <c r="R36" i="2"/>
  <c r="AH63" i="2" s="1"/>
  <c r="Z36" i="2"/>
  <c r="AH71" i="2" s="1"/>
  <c r="AH36" i="2"/>
  <c r="AH79" i="2" s="1"/>
  <c r="K36" i="2"/>
  <c r="AH56" i="2" s="1"/>
  <c r="S36" i="2"/>
  <c r="AH64" i="2" s="1"/>
  <c r="AA36" i="2"/>
  <c r="AH72" i="2" s="1"/>
  <c r="AI36" i="2"/>
  <c r="AH80" i="2" s="1"/>
  <c r="AC32" i="2"/>
  <c r="AD74" i="2" s="1"/>
  <c r="Y32" i="2"/>
  <c r="AD70" i="2" s="1"/>
  <c r="U32" i="2"/>
  <c r="AD66" i="2" s="1"/>
  <c r="Q32" i="2"/>
  <c r="AD62" i="2" s="1"/>
  <c r="M32" i="2"/>
  <c r="AD58" i="2" s="1"/>
  <c r="AE32" i="2"/>
  <c r="AD76" i="2" s="1"/>
  <c r="W32" i="2"/>
  <c r="AD68" i="2" s="1"/>
  <c r="O32" i="2"/>
  <c r="AD60" i="2" s="1"/>
  <c r="Z32" i="2"/>
  <c r="AD71" i="2" s="1"/>
  <c r="R32" i="2"/>
  <c r="AD63" i="2" s="1"/>
  <c r="AF32" i="2"/>
  <c r="AD77" i="2" s="1"/>
  <c r="AB32" i="2"/>
  <c r="AD73" i="2" s="1"/>
  <c r="X32" i="2"/>
  <c r="AD69" i="2" s="1"/>
  <c r="T32" i="2"/>
  <c r="AD65" i="2" s="1"/>
  <c r="P32" i="2"/>
  <c r="AD61" i="2" s="1"/>
  <c r="L32" i="2"/>
  <c r="AD57" i="2" s="1"/>
  <c r="AA32" i="2"/>
  <c r="AD72" i="2" s="1"/>
  <c r="S32" i="2"/>
  <c r="AD64" i="2" s="1"/>
  <c r="K32" i="2"/>
  <c r="AD56" i="2" s="1"/>
  <c r="AD32" i="2"/>
  <c r="AD75" i="2" s="1"/>
  <c r="V32" i="2"/>
  <c r="AD67" i="2" s="1"/>
  <c r="N32" i="2"/>
  <c r="AD59" i="2" s="1"/>
  <c r="AF28" i="2"/>
  <c r="Z77" i="2" s="1"/>
  <c r="AF8" i="2"/>
  <c r="F77" i="2" s="1"/>
  <c r="AF7" i="2"/>
  <c r="E77" i="2" s="1"/>
  <c r="AF30" i="2"/>
  <c r="AB77" i="2" s="1"/>
  <c r="AF14" i="2"/>
  <c r="L77" i="2" s="1"/>
  <c r="AF19" i="2"/>
  <c r="Q77" i="2" s="1"/>
  <c r="AF17" i="2"/>
  <c r="O77" i="2" s="1"/>
  <c r="AF15" i="2"/>
  <c r="M77" i="2" s="1"/>
  <c r="AF22" i="2"/>
  <c r="T77" i="2" s="1"/>
  <c r="AF6" i="2"/>
  <c r="D77" i="2" s="1"/>
  <c r="AF9" i="2"/>
  <c r="G77" i="2" s="1"/>
  <c r="AF12" i="2"/>
  <c r="J77" i="2" s="1"/>
  <c r="AF11" i="2"/>
  <c r="I77" i="2" s="1"/>
  <c r="AF18" i="2"/>
  <c r="P77" i="2" s="1"/>
  <c r="AF4" i="2"/>
  <c r="B77" i="2" s="1"/>
  <c r="AF21" i="2"/>
  <c r="S77" i="2" s="1"/>
  <c r="AF5" i="2"/>
  <c r="C77" i="2" s="1"/>
  <c r="AF20" i="2"/>
  <c r="R77" i="2" s="1"/>
  <c r="AF27" i="2"/>
  <c r="Y77" i="2" s="1"/>
  <c r="AF24" i="2"/>
  <c r="V77" i="2" s="1"/>
  <c r="AF26" i="2"/>
  <c r="X77" i="2" s="1"/>
  <c r="AF10" i="2"/>
  <c r="H77" i="2" s="1"/>
  <c r="AF29" i="2"/>
  <c r="AA77" i="2" s="1"/>
  <c r="AF13" i="2"/>
  <c r="K77" i="2" s="1"/>
  <c r="AF16" i="2"/>
  <c r="N77" i="2" s="1"/>
  <c r="AF23" i="2"/>
  <c r="U77" i="2" s="1"/>
  <c r="AF25" i="2"/>
  <c r="W77" i="2" s="1"/>
  <c r="AE30" i="2"/>
  <c r="AB76" i="2" s="1"/>
  <c r="L30" i="2"/>
  <c r="AB57" i="2" s="1"/>
  <c r="M30" i="2"/>
  <c r="AB58" i="2" s="1"/>
  <c r="Q30" i="2"/>
  <c r="AB62" i="2" s="1"/>
  <c r="U30" i="2"/>
  <c r="AB66" i="2" s="1"/>
  <c r="Y30" i="2"/>
  <c r="AB70" i="2" s="1"/>
  <c r="AC30" i="2"/>
  <c r="AB74" i="2" s="1"/>
  <c r="K30" i="2"/>
  <c r="AB56" i="2" s="1"/>
  <c r="S30" i="2"/>
  <c r="AB64" i="2" s="1"/>
  <c r="AA30" i="2"/>
  <c r="AB72" i="2" s="1"/>
  <c r="P30" i="2"/>
  <c r="AB61" i="2" s="1"/>
  <c r="X30" i="2"/>
  <c r="AB69" i="2" s="1"/>
  <c r="AD30" i="2"/>
  <c r="AB75" i="2" s="1"/>
  <c r="N30" i="2"/>
  <c r="AB59" i="2" s="1"/>
  <c r="R30" i="2"/>
  <c r="AB63" i="2" s="1"/>
  <c r="V30" i="2"/>
  <c r="AB67" i="2" s="1"/>
  <c r="Z30" i="2"/>
  <c r="AB71" i="2" s="1"/>
  <c r="O30" i="2"/>
  <c r="AB60" i="2" s="1"/>
  <c r="W30" i="2"/>
  <c r="AB68" i="2" s="1"/>
  <c r="T30" i="2"/>
  <c r="AB65" i="2" s="1"/>
  <c r="AB30" i="2"/>
  <c r="AB73" i="2" s="1"/>
  <c r="AD27" i="2"/>
  <c r="Y75" i="2" s="1"/>
  <c r="AD5" i="2"/>
  <c r="C75" i="2" s="1"/>
  <c r="AD13" i="2"/>
  <c r="K75" i="2" s="1"/>
  <c r="AD6" i="2"/>
  <c r="D75" i="2" s="1"/>
  <c r="AD14" i="2"/>
  <c r="L75" i="2" s="1"/>
  <c r="AD22" i="2"/>
  <c r="T75" i="2" s="1"/>
  <c r="AD17" i="2"/>
  <c r="O75" i="2" s="1"/>
  <c r="AD11" i="2"/>
  <c r="I75" i="2" s="1"/>
  <c r="AD19" i="2"/>
  <c r="Q75" i="2" s="1"/>
  <c r="AD28" i="2"/>
  <c r="Z75" i="2" s="1"/>
  <c r="AD7" i="2"/>
  <c r="E75" i="2" s="1"/>
  <c r="AD12" i="2"/>
  <c r="J75" i="2" s="1"/>
  <c r="AD20" i="2"/>
  <c r="R75" i="2" s="1"/>
  <c r="AD24" i="2"/>
  <c r="V75" i="2" s="1"/>
  <c r="AD9" i="2"/>
  <c r="G75" i="2" s="1"/>
  <c r="AD25" i="2"/>
  <c r="W75" i="2" s="1"/>
  <c r="AD10" i="2"/>
  <c r="H75" i="2" s="1"/>
  <c r="AD18" i="2"/>
  <c r="P75" i="2" s="1"/>
  <c r="AD26" i="2"/>
  <c r="X75" i="2" s="1"/>
  <c r="AD4" i="2"/>
  <c r="B75" i="2" s="1"/>
  <c r="AD15" i="2"/>
  <c r="M75" i="2" s="1"/>
  <c r="AD23" i="2"/>
  <c r="U75" i="2" s="1"/>
  <c r="AD21" i="2"/>
  <c r="S75" i="2" s="1"/>
  <c r="AD8" i="2"/>
  <c r="F75" i="2" s="1"/>
  <c r="AD16" i="2"/>
  <c r="N75" i="2" s="1"/>
  <c r="AD29" i="2"/>
  <c r="AA75" i="2" s="1"/>
  <c r="AA26" i="2"/>
  <c r="X72" i="2" s="1"/>
  <c r="AA27" i="2"/>
  <c r="AA23" i="2"/>
  <c r="AA20" i="2"/>
  <c r="AA18" i="2"/>
  <c r="AA17" i="2"/>
  <c r="AA19" i="2"/>
  <c r="AA21" i="2"/>
  <c r="AA25" i="2"/>
  <c r="AA22" i="2"/>
  <c r="AA24" i="2"/>
  <c r="Z25" i="2"/>
  <c r="W71" i="2" s="1"/>
  <c r="Z26" i="2"/>
  <c r="X71" i="2" s="1"/>
  <c r="V26" i="2"/>
  <c r="X67" i="2" s="1"/>
  <c r="R26" i="2"/>
  <c r="X63" i="2" s="1"/>
  <c r="N26" i="2"/>
  <c r="X59" i="2" s="1"/>
  <c r="W26" i="2"/>
  <c r="X68" i="2" s="1"/>
  <c r="K26" i="2"/>
  <c r="X56" i="2" s="1"/>
  <c r="Y26" i="2"/>
  <c r="X70" i="2" s="1"/>
  <c r="U26" i="2"/>
  <c r="X66" i="2" s="1"/>
  <c r="Q26" i="2"/>
  <c r="X62" i="2" s="1"/>
  <c r="M26" i="2"/>
  <c r="X58" i="2" s="1"/>
  <c r="S26" i="2"/>
  <c r="X64" i="2" s="1"/>
  <c r="X26" i="2"/>
  <c r="X69" i="2" s="1"/>
  <c r="T26" i="2"/>
  <c r="X65" i="2" s="1"/>
  <c r="P26" i="2"/>
  <c r="X61" i="2" s="1"/>
  <c r="L26" i="2"/>
  <c r="X57" i="2" s="1"/>
  <c r="O26" i="2"/>
  <c r="X60" i="2" s="1"/>
  <c r="Z22" i="2"/>
  <c r="T71" i="2" s="1"/>
  <c r="Z7" i="2"/>
  <c r="E71" i="2" s="1"/>
  <c r="Z11" i="2"/>
  <c r="I71" i="2" s="1"/>
  <c r="Z23" i="2"/>
  <c r="U71" i="2" s="1"/>
  <c r="Z15" i="2"/>
  <c r="M71" i="2" s="1"/>
  <c r="Z19" i="2"/>
  <c r="Q71" i="2" s="1"/>
  <c r="Z17" i="2"/>
  <c r="O71" i="2" s="1"/>
  <c r="Z20" i="2"/>
  <c r="R71" i="2" s="1"/>
  <c r="Z24" i="2"/>
  <c r="V71" i="2" s="1"/>
  <c r="Z16" i="2"/>
  <c r="N71" i="2" s="1"/>
  <c r="Z5" i="2"/>
  <c r="C71" i="2" s="1"/>
  <c r="Z21" i="2"/>
  <c r="S71" i="2" s="1"/>
  <c r="Z8" i="2"/>
  <c r="F71" i="2" s="1"/>
  <c r="Z4" i="2"/>
  <c r="B71" i="2" s="1"/>
  <c r="Z10" i="2"/>
  <c r="H71" i="2" s="1"/>
  <c r="Z14" i="2"/>
  <c r="L71" i="2" s="1"/>
  <c r="Z12" i="2"/>
  <c r="J71" i="2" s="1"/>
  <c r="Z9" i="2"/>
  <c r="G71" i="2" s="1"/>
  <c r="Z6" i="2"/>
  <c r="D71" i="2" s="1"/>
  <c r="Z18" i="2"/>
  <c r="P71" i="2" s="1"/>
  <c r="Z13" i="2"/>
  <c r="K71" i="2" s="1"/>
  <c r="M24" i="2"/>
  <c r="V58" i="2" s="1"/>
  <c r="O24" i="2"/>
  <c r="V60" i="2" s="1"/>
  <c r="Q24" i="2"/>
  <c r="V62" i="2" s="1"/>
  <c r="S24" i="2"/>
  <c r="V64" i="2" s="1"/>
  <c r="U24" i="2"/>
  <c r="V66" i="2" s="1"/>
  <c r="W24" i="2"/>
  <c r="V68" i="2" s="1"/>
  <c r="L24" i="2"/>
  <c r="V57" i="2" s="1"/>
  <c r="N24" i="2"/>
  <c r="V59" i="2" s="1"/>
  <c r="P24" i="2"/>
  <c r="V61" i="2" s="1"/>
  <c r="R24" i="2"/>
  <c r="V63" i="2" s="1"/>
  <c r="T24" i="2"/>
  <c r="V65" i="2" s="1"/>
  <c r="V24" i="2"/>
  <c r="V67" i="2" s="1"/>
  <c r="X24" i="2"/>
  <c r="V69" i="2" s="1"/>
  <c r="K24" i="2"/>
  <c r="V56" i="2" s="1"/>
  <c r="X18" i="2"/>
  <c r="P69" i="2" s="1"/>
  <c r="X16" i="2"/>
  <c r="N69" i="2" s="1"/>
  <c r="X8" i="2"/>
  <c r="F69" i="2" s="1"/>
  <c r="X10" i="2"/>
  <c r="H69" i="2" s="1"/>
  <c r="X7" i="2"/>
  <c r="E69" i="2" s="1"/>
  <c r="X11" i="2"/>
  <c r="I69" i="2" s="1"/>
  <c r="X15" i="2"/>
  <c r="M69" i="2" s="1"/>
  <c r="X19" i="2"/>
  <c r="Q69" i="2" s="1"/>
  <c r="X4" i="2"/>
  <c r="B69" i="2" s="1"/>
  <c r="X14" i="2"/>
  <c r="L69" i="2" s="1"/>
  <c r="X5" i="2"/>
  <c r="C69" i="2" s="1"/>
  <c r="X22" i="2"/>
  <c r="T69" i="2" s="1"/>
  <c r="X6" i="2"/>
  <c r="D69" i="2" s="1"/>
  <c r="X20" i="2"/>
  <c r="R69" i="2" s="1"/>
  <c r="X12" i="2"/>
  <c r="J69" i="2" s="1"/>
  <c r="X9" i="2"/>
  <c r="G69" i="2" s="1"/>
  <c r="X13" i="2"/>
  <c r="K69" i="2" s="1"/>
  <c r="X17" i="2"/>
  <c r="O69" i="2" s="1"/>
  <c r="X21" i="2"/>
  <c r="S69" i="2" s="1"/>
  <c r="X23" i="2"/>
  <c r="U69" i="2" s="1"/>
  <c r="AE5" i="2" l="1"/>
  <c r="C76" i="2" s="1"/>
  <c r="K31" i="2"/>
  <c r="AC56" i="2" s="1"/>
  <c r="AA31" i="2"/>
  <c r="AC72" i="2" s="1"/>
  <c r="L31" i="2"/>
  <c r="AC57" i="2" s="1"/>
  <c r="AB31" i="2"/>
  <c r="AC73" i="2" s="1"/>
  <c r="N31" i="2"/>
  <c r="AC59" i="2" s="1"/>
  <c r="AC31" i="2"/>
  <c r="AC74" i="2" s="1"/>
  <c r="M31" i="2"/>
  <c r="AC58" i="2" s="1"/>
  <c r="AD31" i="2"/>
  <c r="AC75" i="2" s="1"/>
  <c r="O31" i="2"/>
  <c r="AC60" i="2" s="1"/>
  <c r="AE31" i="2"/>
  <c r="AC76" i="2" s="1"/>
  <c r="P31" i="2"/>
  <c r="AC61" i="2" s="1"/>
  <c r="Q31" i="2"/>
  <c r="AC62" i="2" s="1"/>
  <c r="R31" i="2"/>
  <c r="AC63" i="2" s="1"/>
  <c r="S31" i="2"/>
  <c r="AC64" i="2" s="1"/>
  <c r="T31" i="2"/>
  <c r="AC65" i="2" s="1"/>
  <c r="U31" i="2"/>
  <c r="AC66" i="2" s="1"/>
  <c r="V31" i="2"/>
  <c r="AC67" i="2" s="1"/>
  <c r="Z31" i="2"/>
  <c r="AC71" i="2" s="1"/>
  <c r="W31" i="2"/>
  <c r="AC68" i="2" s="1"/>
  <c r="X31" i="2"/>
  <c r="AC69" i="2" s="1"/>
  <c r="Y31" i="2"/>
  <c r="AC70" i="2" s="1"/>
  <c r="AE27" i="2"/>
  <c r="Y76" i="2" s="1"/>
  <c r="AE9" i="2"/>
  <c r="G76" i="2" s="1"/>
  <c r="AE25" i="2"/>
  <c r="W76" i="2" s="1"/>
  <c r="AE22" i="2"/>
  <c r="T76" i="2" s="1"/>
  <c r="AE11" i="2"/>
  <c r="I76" i="2" s="1"/>
  <c r="AE28" i="2"/>
  <c r="Z76" i="2" s="1"/>
  <c r="AE16" i="2"/>
  <c r="N76" i="2" s="1"/>
  <c r="AE13" i="2"/>
  <c r="K76" i="2" s="1"/>
  <c r="AE6" i="2"/>
  <c r="D76" i="2" s="1"/>
  <c r="AE26" i="2"/>
  <c r="X76" i="2" s="1"/>
  <c r="AE15" i="2"/>
  <c r="M76" i="2" s="1"/>
  <c r="AE4" i="2"/>
  <c r="B76" i="2" s="1"/>
  <c r="AE20" i="2"/>
  <c r="R76" i="2" s="1"/>
  <c r="AE24" i="2"/>
  <c r="V76" i="2" s="1"/>
  <c r="AE17" i="2"/>
  <c r="O76" i="2" s="1"/>
  <c r="AE14" i="2"/>
  <c r="L76" i="2" s="1"/>
  <c r="AE10" i="2"/>
  <c r="H76" i="2" s="1"/>
  <c r="AE19" i="2"/>
  <c r="Q76" i="2" s="1"/>
  <c r="AE8" i="2"/>
  <c r="F76" i="2" s="1"/>
  <c r="AE21" i="2"/>
  <c r="S76" i="2" s="1"/>
  <c r="AE18" i="2"/>
  <c r="P76" i="2" s="1"/>
  <c r="AE7" i="2"/>
  <c r="E76" i="2" s="1"/>
  <c r="AE23" i="2"/>
  <c r="U76" i="2" s="1"/>
  <c r="AE12" i="2"/>
  <c r="J76" i="2" s="1"/>
  <c r="AE29" i="2"/>
  <c r="AA76" i="2" s="1"/>
  <c r="AB27" i="2"/>
  <c r="Y73" i="2" s="1"/>
  <c r="AA28" i="2"/>
  <c r="Z72" i="2" s="1"/>
  <c r="AB28" i="2"/>
  <c r="Z73" i="2" s="1"/>
  <c r="Y28" i="2"/>
  <c r="Z70" i="2" s="1"/>
  <c r="Z28" i="2"/>
  <c r="Z71" i="2" s="1"/>
  <c r="X28" i="2"/>
  <c r="Z69" i="2" s="1"/>
  <c r="W28" i="2"/>
  <c r="Z68" i="2" s="1"/>
  <c r="M28" i="2"/>
  <c r="Z58" i="2" s="1"/>
  <c r="N28" i="2"/>
  <c r="Z59" i="2" s="1"/>
  <c r="L28" i="2"/>
  <c r="Z57" i="2" s="1"/>
  <c r="K28" i="2"/>
  <c r="Z56" i="2" s="1"/>
  <c r="Q28" i="2"/>
  <c r="Z62" i="2" s="1"/>
  <c r="R28" i="2"/>
  <c r="Z63" i="2" s="1"/>
  <c r="P28" i="2"/>
  <c r="Z61" i="2" s="1"/>
  <c r="O28" i="2"/>
  <c r="Z60" i="2" s="1"/>
  <c r="U28" i="2"/>
  <c r="Z66" i="2" s="1"/>
  <c r="V28" i="2"/>
  <c r="Z67" i="2" s="1"/>
  <c r="T28" i="2"/>
  <c r="Z65" i="2" s="1"/>
  <c r="S28" i="2"/>
  <c r="Z64" i="2" s="1"/>
  <c r="AB6" i="2"/>
  <c r="D73" i="2" s="1"/>
  <c r="AB16" i="2"/>
  <c r="N73" i="2" s="1"/>
  <c r="AB7" i="2"/>
  <c r="E73" i="2" s="1"/>
  <c r="AB15" i="2"/>
  <c r="M73" i="2" s="1"/>
  <c r="AB20" i="2"/>
  <c r="R73" i="2" s="1"/>
  <c r="AB26" i="2"/>
  <c r="X73" i="2" s="1"/>
  <c r="AB21" i="2"/>
  <c r="S73" i="2" s="1"/>
  <c r="AB12" i="2"/>
  <c r="J73" i="2" s="1"/>
  <c r="AB10" i="2"/>
  <c r="H73" i="2" s="1"/>
  <c r="AB4" i="2"/>
  <c r="B73" i="2" s="1"/>
  <c r="AB9" i="2"/>
  <c r="G73" i="2" s="1"/>
  <c r="AB17" i="2"/>
  <c r="O73" i="2" s="1"/>
  <c r="AB23" i="2"/>
  <c r="U73" i="2" s="1"/>
  <c r="AB18" i="2"/>
  <c r="P73" i="2" s="1"/>
  <c r="AB25" i="2"/>
  <c r="W73" i="2" s="1"/>
  <c r="AB5" i="2"/>
  <c r="C73" i="2" s="1"/>
  <c r="AB22" i="2"/>
  <c r="T73" i="2" s="1"/>
  <c r="AB19" i="2"/>
  <c r="Q73" i="2" s="1"/>
  <c r="AB14" i="2"/>
  <c r="L73" i="2" s="1"/>
  <c r="AB8" i="2"/>
  <c r="F73" i="2" s="1"/>
  <c r="AB11" i="2"/>
  <c r="I73" i="2" s="1"/>
  <c r="AB13" i="2"/>
  <c r="K73" i="2" s="1"/>
  <c r="AB24" i="2"/>
  <c r="V73" i="2" s="1"/>
  <c r="V72" i="2"/>
  <c r="U72" i="2"/>
  <c r="T72" i="2"/>
  <c r="O72" i="2"/>
  <c r="W72" i="2"/>
  <c r="P72" i="2"/>
  <c r="Q72" i="2"/>
  <c r="S72" i="2"/>
  <c r="R72" i="2"/>
  <c r="Y72" i="2"/>
  <c r="Z27" i="2"/>
  <c r="V27" i="2"/>
  <c r="R27" i="2"/>
  <c r="N27" i="2"/>
  <c r="AA6" i="2"/>
  <c r="Y27" i="2"/>
  <c r="U27" i="2"/>
  <c r="Q27" i="2"/>
  <c r="M27" i="2"/>
  <c r="AA13" i="2"/>
  <c r="AA9" i="2"/>
  <c r="AA5" i="2"/>
  <c r="W27" i="2"/>
  <c r="S27" i="2"/>
  <c r="K27" i="2"/>
  <c r="AA15" i="2"/>
  <c r="AA7" i="2"/>
  <c r="AA14" i="2"/>
  <c r="X27" i="2"/>
  <c r="T27" i="2"/>
  <c r="P27" i="2"/>
  <c r="L27" i="2"/>
  <c r="AA16" i="2"/>
  <c r="AA12" i="2"/>
  <c r="AA8" i="2"/>
  <c r="AA4" i="2"/>
  <c r="O27" i="2"/>
  <c r="AA11" i="2"/>
  <c r="AA10" i="2"/>
  <c r="Y24" i="2"/>
  <c r="V70" i="2" s="1"/>
  <c r="Y25" i="2"/>
  <c r="W70" i="2" s="1"/>
  <c r="W25" i="2"/>
  <c r="W68" i="2" s="1"/>
  <c r="U25" i="2"/>
  <c r="W66" i="2" s="1"/>
  <c r="S25" i="2"/>
  <c r="W64" i="2" s="1"/>
  <c r="Q25" i="2"/>
  <c r="W62" i="2" s="1"/>
  <c r="O25" i="2"/>
  <c r="W60" i="2" s="1"/>
  <c r="M25" i="2"/>
  <c r="W58" i="2" s="1"/>
  <c r="K25" i="2"/>
  <c r="W56" i="2" s="1"/>
  <c r="X25" i="2"/>
  <c r="W69" i="2" s="1"/>
  <c r="V25" i="2"/>
  <c r="W67" i="2" s="1"/>
  <c r="T25" i="2"/>
  <c r="W65" i="2" s="1"/>
  <c r="R25" i="2"/>
  <c r="W63" i="2" s="1"/>
  <c r="P25" i="2"/>
  <c r="W61" i="2" s="1"/>
  <c r="N25" i="2"/>
  <c r="W59" i="2" s="1"/>
  <c r="L25" i="2"/>
  <c r="W57" i="2" s="1"/>
  <c r="Y4" i="2"/>
  <c r="B70" i="2" s="1"/>
  <c r="Y8" i="2"/>
  <c r="F70" i="2" s="1"/>
  <c r="Y12" i="2"/>
  <c r="J70" i="2" s="1"/>
  <c r="Y16" i="2"/>
  <c r="N70" i="2" s="1"/>
  <c r="Y20" i="2"/>
  <c r="R70" i="2" s="1"/>
  <c r="Y5" i="2"/>
  <c r="C70" i="2" s="1"/>
  <c r="Y9" i="2"/>
  <c r="G70" i="2" s="1"/>
  <c r="Y13" i="2"/>
  <c r="K70" i="2" s="1"/>
  <c r="Y17" i="2"/>
  <c r="O70" i="2" s="1"/>
  <c r="Y21" i="2"/>
  <c r="S70" i="2" s="1"/>
  <c r="Y6" i="2"/>
  <c r="D70" i="2" s="1"/>
  <c r="Y10" i="2"/>
  <c r="H70" i="2" s="1"/>
  <c r="Y14" i="2"/>
  <c r="L70" i="2" s="1"/>
  <c r="Y18" i="2"/>
  <c r="P70" i="2" s="1"/>
  <c r="Y22" i="2"/>
  <c r="T70" i="2" s="1"/>
  <c r="Y7" i="2"/>
  <c r="E70" i="2" s="1"/>
  <c r="Y11" i="2"/>
  <c r="I70" i="2" s="1"/>
  <c r="Y15" i="2"/>
  <c r="M70" i="2" s="1"/>
  <c r="Y19" i="2"/>
  <c r="Q70" i="2" s="1"/>
  <c r="Y23" i="2"/>
  <c r="U70" i="2" s="1"/>
  <c r="F72" i="2" l="1"/>
  <c r="E72" i="2"/>
  <c r="D72" i="2"/>
  <c r="I72" i="2"/>
  <c r="J72" i="2"/>
  <c r="M72" i="2"/>
  <c r="C72" i="2"/>
  <c r="N72" i="2"/>
  <c r="G72" i="2"/>
  <c r="H72" i="2"/>
  <c r="B72" i="2"/>
  <c r="L72" i="2"/>
  <c r="K72" i="2"/>
  <c r="Y64" i="2"/>
  <c r="Y70" i="2"/>
  <c r="Y67" i="2"/>
  <c r="Y61" i="2"/>
  <c r="Y68" i="2"/>
  <c r="Y58" i="2"/>
  <c r="Y71" i="2"/>
  <c r="Y57" i="2"/>
  <c r="Y65" i="2"/>
  <c r="Y62" i="2"/>
  <c r="Y59" i="2"/>
  <c r="Y60" i="2"/>
  <c r="Y69" i="2"/>
  <c r="Y56" i="2"/>
  <c r="Y66" i="2"/>
  <c r="Y63" i="2"/>
</calcChain>
</file>

<file path=xl/sharedStrings.xml><?xml version="1.0" encoding="utf-8"?>
<sst xmlns="http://schemas.openxmlformats.org/spreadsheetml/2006/main" count="328" uniqueCount="197">
  <si>
    <t>Periodicidad: Trimestral</t>
  </si>
  <si>
    <t>1993/04</t>
  </si>
  <si>
    <t>1994/01</t>
  </si>
  <si>
    <t>1994/02</t>
  </si>
  <si>
    <t>1994/03</t>
  </si>
  <si>
    <t>1994/04</t>
  </si>
  <si>
    <t>1995/01</t>
  </si>
  <si>
    <t>1995/02</t>
  </si>
  <si>
    <t>1995/03</t>
  </si>
  <si>
    <t>1995/04</t>
  </si>
  <si>
    <t>1996/01</t>
  </si>
  <si>
    <t>1996/02</t>
  </si>
  <si>
    <t>1996/03</t>
  </si>
  <si>
    <t>1996/04</t>
  </si>
  <si>
    <t>1997/01</t>
  </si>
  <si>
    <t>1997/02</t>
  </si>
  <si>
    <t>1997/03</t>
  </si>
  <si>
    <t>1997/04</t>
  </si>
  <si>
    <t>1998/01</t>
  </si>
  <si>
    <t>1998/02</t>
  </si>
  <si>
    <t>1998/03</t>
  </si>
  <si>
    <t>1998/04</t>
  </si>
  <si>
    <t>1999/01</t>
  </si>
  <si>
    <t>1999/02</t>
  </si>
  <si>
    <t>1999/03</t>
  </si>
  <si>
    <t>2006/01</t>
  </si>
  <si>
    <t>2008/02</t>
  </si>
  <si>
    <t>2006=100</t>
  </si>
  <si>
    <t>Fórmula para deflactar: (valor corriente/deflactor)*100</t>
  </si>
  <si>
    <t>2004=100</t>
  </si>
  <si>
    <t>2001=100</t>
  </si>
  <si>
    <t>2000=100</t>
  </si>
  <si>
    <t>2003=100</t>
  </si>
  <si>
    <t>2005=100</t>
  </si>
  <si>
    <t>2007=100</t>
  </si>
  <si>
    <t>2008=100</t>
  </si>
  <si>
    <t>2009=100</t>
  </si>
  <si>
    <t>Periodo</t>
  </si>
  <si>
    <t>2013=100</t>
    <phoneticPr fontId="0" type="noConversion"/>
  </si>
  <si>
    <t>2013=100</t>
    <phoneticPr fontId="0" type="noConversion"/>
  </si>
  <si>
    <t>2011/03</t>
  </si>
  <si>
    <t>2011/04</t>
  </si>
  <si>
    <t>2012/02</t>
  </si>
  <si>
    <t>2012/03</t>
  </si>
  <si>
    <t>http://www.inegi.org.mx/sistemas/bie/</t>
  </si>
  <si>
    <t>2008/01</t>
  </si>
  <si>
    <t>2009/02</t>
  </si>
  <si>
    <t>2009/03</t>
  </si>
  <si>
    <t>2009/04</t>
  </si>
  <si>
    <t>2010/01</t>
  </si>
  <si>
    <t>2010/02</t>
  </si>
  <si>
    <t>2004/01</t>
  </si>
  <si>
    <t>2010/03</t>
  </si>
  <si>
    <t>2010/04</t>
  </si>
  <si>
    <t>2011/01</t>
  </si>
  <si>
    <t>2011/02</t>
  </si>
  <si>
    <t>2010=100</t>
    <phoneticPr fontId="0" type="noConversion"/>
  </si>
  <si>
    <t>2011=100</t>
    <phoneticPr fontId="0" type="noConversion"/>
  </si>
  <si>
    <t>2012=100</t>
    <phoneticPr fontId="0" type="noConversion"/>
  </si>
  <si>
    <t>2010=100</t>
    <phoneticPr fontId="0" type="noConversion"/>
  </si>
  <si>
    <t>2011=100</t>
    <phoneticPr fontId="0" type="noConversion"/>
  </si>
  <si>
    <t>2012=100</t>
    <phoneticPr fontId="0" type="noConversion"/>
  </si>
  <si>
    <t>2008/03</t>
  </si>
  <si>
    <t>2008/04</t>
  </si>
  <si>
    <t>2002=100</t>
  </si>
  <si>
    <t>1999/04</t>
  </si>
  <si>
    <t>2000/01</t>
  </si>
  <si>
    <t>2000/02</t>
  </si>
  <si>
    <t>2000/03</t>
  </si>
  <si>
    <t>2000/04</t>
  </si>
  <si>
    <t>2001/01</t>
  </si>
  <si>
    <t>2001/02</t>
  </si>
  <si>
    <t>2001/03</t>
  </si>
  <si>
    <t>2001/04</t>
  </si>
  <si>
    <t>2002/01</t>
  </si>
  <si>
    <t>2002/02</t>
  </si>
  <si>
    <t>2002/03</t>
  </si>
  <si>
    <t>2002/04</t>
  </si>
  <si>
    <t>2003/01</t>
  </si>
  <si>
    <t>2003/02</t>
  </si>
  <si>
    <t>2003/03</t>
  </si>
  <si>
    <t>2003/04</t>
  </si>
  <si>
    <t>2004/02</t>
  </si>
  <si>
    <t>2004/03</t>
  </si>
  <si>
    <t>2004/04</t>
  </si>
  <si>
    <t>2005/01</t>
  </si>
  <si>
    <t>2005/02</t>
  </si>
  <si>
    <t>2005/03</t>
  </si>
  <si>
    <t>2005/04</t>
  </si>
  <si>
    <t>2006/02</t>
  </si>
  <si>
    <t>2006/03</t>
  </si>
  <si>
    <t>2006/04</t>
  </si>
  <si>
    <t>2007/01</t>
  </si>
  <si>
    <t>2007/02</t>
  </si>
  <si>
    <t>2007/03</t>
  </si>
  <si>
    <t>2007/04</t>
  </si>
  <si>
    <t>1993/01</t>
  </si>
  <si>
    <t>1993/02</t>
  </si>
  <si>
    <t>1993/03</t>
  </si>
  <si>
    <t>2009/01</t>
  </si>
  <si>
    <t>2012/04</t>
  </si>
  <si>
    <t>2014=100</t>
  </si>
  <si>
    <t>2013/01</t>
  </si>
  <si>
    <t>2013/02</t>
  </si>
  <si>
    <t>2013/03</t>
  </si>
  <si>
    <t>2013/04</t>
  </si>
  <si>
    <t>2015=100</t>
  </si>
  <si>
    <t>2014/02</t>
  </si>
  <si>
    <t>2014/03</t>
  </si>
  <si>
    <t>2014/01</t>
  </si>
  <si>
    <t>2014/04</t>
  </si>
  <si>
    <t>2015/02</t>
  </si>
  <si>
    <t>2016=100</t>
  </si>
  <si>
    <t>2012/01</t>
  </si>
  <si>
    <t>2015/03</t>
  </si>
  <si>
    <t>2017=100</t>
  </si>
  <si>
    <t>2015/01</t>
  </si>
  <si>
    <t>2015/04</t>
  </si>
  <si>
    <t>2016/01</t>
  </si>
  <si>
    <t>2010=100</t>
  </si>
  <si>
    <t>2011=100</t>
  </si>
  <si>
    <t>2012=100</t>
  </si>
  <si>
    <t>2013=100</t>
  </si>
  <si>
    <t>2016/02</t>
  </si>
  <si>
    <t>2016/03</t>
  </si>
  <si>
    <t>2016/04</t>
  </si>
  <si>
    <t>2018=100</t>
  </si>
  <si>
    <t>2019=100</t>
  </si>
  <si>
    <t>2020=100</t>
  </si>
  <si>
    <t>2017/01</t>
  </si>
  <si>
    <t>2017/02</t>
  </si>
  <si>
    <t>2017/03</t>
  </si>
  <si>
    <t>2017/04</t>
  </si>
  <si>
    <t>2018/01</t>
  </si>
  <si>
    <t>2018/02</t>
  </si>
  <si>
    <t>2018/03</t>
  </si>
  <si>
    <t>2018/04</t>
  </si>
  <si>
    <t>2019/01</t>
  </si>
  <si>
    <t>2019/02</t>
  </si>
  <si>
    <t>2019/03</t>
  </si>
  <si>
    <t>2019/04</t>
  </si>
  <si>
    <t>2020/01</t>
  </si>
  <si>
    <t>2021=100</t>
  </si>
  <si>
    <t>2020/04</t>
  </si>
  <si>
    <t>2020/02</t>
  </si>
  <si>
    <t>2020/03</t>
  </si>
  <si>
    <t>1999=100</t>
  </si>
  <si>
    <t>1998=100</t>
  </si>
  <si>
    <t>1997=100</t>
  </si>
  <si>
    <t>1996=100</t>
  </si>
  <si>
    <t>1995=100</t>
  </si>
  <si>
    <t>1994=100</t>
  </si>
  <si>
    <t>1993=100</t>
  </si>
  <si>
    <t>2022=100</t>
  </si>
  <si>
    <t>2021/01</t>
  </si>
  <si>
    <t>2021/02</t>
  </si>
  <si>
    <t>2021/03</t>
  </si>
  <si>
    <t>2021/04</t>
  </si>
  <si>
    <t>2022/01</t>
  </si>
  <si>
    <t>2022/02</t>
  </si>
  <si>
    <t>2022/03</t>
  </si>
  <si>
    <t>2022/04</t>
  </si>
  <si>
    <t>2023/04</t>
  </si>
  <si>
    <t>2023/02</t>
  </si>
  <si>
    <t>2023/03</t>
  </si>
  <si>
    <t>2023=100</t>
  </si>
  <si>
    <t>Base 2018</t>
  </si>
  <si>
    <t>2024/04</t>
  </si>
  <si>
    <t>2024=100</t>
  </si>
  <si>
    <t>2025/04</t>
  </si>
  <si>
    <t>2025=100</t>
  </si>
  <si>
    <t>2024/01</t>
  </si>
  <si>
    <t>2024/02</t>
  </si>
  <si>
    <t>2024/03</t>
  </si>
  <si>
    <t>Cuentas nacionales &gt; Producto interno bruto trimestral, base 2018 &gt; Índice acumulado de precios implícitos, 2020=100.0 Unidad de medida:Índice base 2020 = 100 Periodicidad: Trimestral</t>
  </si>
  <si>
    <t>2026 = 100</t>
  </si>
  <si>
    <t>2026=100</t>
  </si>
  <si>
    <t>2025/01</t>
  </si>
  <si>
    <t>2025/02</t>
  </si>
  <si>
    <t>2025/03</t>
  </si>
  <si>
    <t>2026/01</t>
  </si>
  <si>
    <t>2026/02</t>
  </si>
  <si>
    <t>2026/03</t>
  </si>
  <si>
    <t>2026/04</t>
  </si>
  <si>
    <t>Fuente 1993-2024: INEGI. Sistema de Cuentas Nacionales de México.</t>
  </si>
  <si>
    <t>https://www.finanzaspublicas.hacienda.gob.mx/en/Finanzas_Publicas/Paquete_Economico_y_Presupuesto</t>
  </si>
  <si>
    <t>Fuente 2025 y 2026: SHCP. Deflactor del PIB (variación anual, % promedio). Marco macroeconómico 2025-2026. Criterios Generales de Política Económica</t>
  </si>
  <si>
    <t>https://www.ppef.hacienda.gob.mx/work/models/PP3F2609/PPEF2026/Fiw326fP/paquete/politica_hacendaria/CGPE_2026.pdf</t>
  </si>
  <si>
    <t>Cuentas nacionales &gt; Producto interno bruto trimestral, base 2018 &gt; Índice acumulado de precios implícitos, 2018 = 100</t>
  </si>
  <si>
    <t>Unidad de medida:Índice base 2018 = 100</t>
  </si>
  <si>
    <t>2023/01 /r1</t>
  </si>
  <si>
    <t>Fuente 1993-2025: INEGI. Sistema de Cuentas Nacionales de México.</t>
  </si>
  <si>
    <t>Fuente 2026: SHCP. Deflactor del PIB (variación anual, % promedio). Marco macroeconómico 2023-2030. Criterios Generales de Política Económica</t>
  </si>
  <si>
    <t>Cuentas nacionales &gt; Producto interno bruto trimestral, base 2018 &gt; Índice acumulado de precios implícitos, 2018 = 100.0 Unidad de medida:Índice base 2018 = 100 Periodicidad: Trimestral</t>
  </si>
  <si>
    <t>Tabla de deflactores</t>
  </si>
  <si>
    <t>Actualizada:</t>
  </si>
  <si>
    <t>14 de julio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</si>
</sst>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_-;\-* #,##0.00_-;_-* &quot;-&quot;??_-;_-@_-"/>
    <numFmt numFmtId="165" formatCode="_-* #,##0.0_-;\-* #,##0.0_-;_-* &quot;-&quot;??_-;_-@_-"/>
    <numFmt numFmtId="166" formatCode="_-[$€-2]* #,##0.00_-;\-[$€-2]* #,##0.00_-;_-[$€-2]* &quot;-&quot;??_-"/>
    <numFmt numFmtId="167" formatCode="0.0%"/>
    <numFmt numFmtId="168" formatCode="_(* #,##0.000000_);_(* \(#,##0.000000\);_(* &quot;-&quot;??_);_(@_)"/>
  </numFmts>
  <fonts count="33" x14ac:knownFonts="1">
    <font>
      <sz val="10"/>
      <name val="Arial"/>
    </font>
    <font>
      <sz val="10"/>
      <name val="Arial"/>
      <family val="2"/>
    </font>
    <font>
      <b/>
      <sz val="10"/>
      <color indexed="23"/>
      <name val="Arial"/>
      <family val="2"/>
    </font>
    <font>
      <sz val="10"/>
      <color indexed="23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8"/>
      <name val="Verdana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u/>
      <sz val="10"/>
      <color theme="10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sz val="10"/>
      <color theme="1" tint="0.499984740745262"/>
      <name val="Arial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1"/>
      <name val="Arial"/>
      <family val="2"/>
    </font>
    <font>
      <sz val="18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1"/>
        <bgColor indexed="64"/>
      </patternFill>
    </fill>
  </fills>
  <borders count="14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/>
      <bottom/>
      <diagonal/>
    </border>
  </borders>
  <cellStyleXfs count="48">
    <xf numFmtId="0" fontId="0" fillId="0" borderId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6" borderId="0" applyNumberFormat="0" applyBorder="0" applyAlignment="0" applyProtection="0"/>
    <xf numFmtId="0" fontId="5" fillId="9" borderId="0" applyNumberFormat="0" applyBorder="0" applyAlignment="0" applyProtection="0"/>
    <xf numFmtId="0" fontId="5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7" fillId="5" borderId="0" applyNumberFormat="0" applyBorder="0" applyAlignment="0" applyProtection="0"/>
    <xf numFmtId="0" fontId="8" fillId="17" borderId="3" applyNumberFormat="0" applyAlignment="0" applyProtection="0"/>
    <xf numFmtId="0" fontId="9" fillId="18" borderId="4" applyNumberFormat="0" applyAlignment="0" applyProtection="0"/>
    <xf numFmtId="0" fontId="10" fillId="0" borderId="5" applyNumberFormat="0" applyFill="0" applyAlignment="0" applyProtection="0"/>
    <xf numFmtId="164" fontId="1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12" fillId="8" borderId="3" applyNumberFormat="0" applyAlignment="0" applyProtection="0"/>
    <xf numFmtId="166" fontId="1" fillId="0" borderId="0" applyFont="0" applyFill="0" applyBorder="0" applyAlignment="0" applyProtection="0"/>
    <xf numFmtId="0" fontId="13" fillId="4" borderId="0" applyNumberFormat="0" applyBorder="0" applyAlignment="0" applyProtection="0"/>
    <xf numFmtId="0" fontId="14" fillId="23" borderId="0" applyNumberFormat="0" applyBorder="0" applyAlignment="0" applyProtection="0"/>
    <xf numFmtId="0" fontId="4" fillId="24" borderId="6" applyNumberFormat="0" applyFont="0" applyAlignment="0" applyProtection="0"/>
    <xf numFmtId="9" fontId="1" fillId="0" borderId="0" applyFont="0" applyFill="0" applyBorder="0" applyAlignment="0" applyProtection="0"/>
    <xf numFmtId="0" fontId="15" fillId="17" borderId="7" applyNumberFormat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11" fillId="0" borderId="10" applyNumberFormat="0" applyFill="0" applyAlignment="0" applyProtection="0"/>
    <xf numFmtId="0" fontId="21" fillId="0" borderId="11" applyNumberFormat="0" applyFill="0" applyAlignment="0" applyProtection="0"/>
    <xf numFmtId="0" fontId="25" fillId="0" borderId="0" applyNumberFormat="0" applyFill="0" applyBorder="0" applyAlignment="0" applyProtection="0"/>
    <xf numFmtId="0" fontId="1" fillId="0" borderId="0"/>
    <xf numFmtId="0" fontId="1" fillId="0" borderId="0"/>
  </cellStyleXfs>
  <cellXfs count="42">
    <xf numFmtId="0" fontId="0" fillId="0" borderId="0" xfId="0"/>
    <xf numFmtId="0" fontId="2" fillId="2" borderId="0" xfId="0" applyFont="1" applyFill="1" applyAlignment="1">
      <alignment horizontal="center"/>
    </xf>
    <xf numFmtId="0" fontId="2" fillId="2" borderId="0" xfId="0" applyFont="1" applyFill="1"/>
    <xf numFmtId="165" fontId="3" fillId="2" borderId="2" xfId="23" applyNumberFormat="1" applyFont="1" applyFill="1" applyBorder="1"/>
    <xf numFmtId="0" fontId="2" fillId="2" borderId="0" xfId="0" applyFont="1" applyFill="1" applyAlignment="1">
      <alignment horizontal="center" vertical="top" wrapText="1"/>
    </xf>
    <xf numFmtId="0" fontId="3" fillId="2" borderId="0" xfId="0" applyFont="1" applyFill="1"/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right" wrapText="1"/>
    </xf>
    <xf numFmtId="0" fontId="3" fillId="2" borderId="0" xfId="0" applyFont="1" applyFill="1" applyAlignment="1">
      <alignment horizontal="left"/>
    </xf>
    <xf numFmtId="167" fontId="3" fillId="2" borderId="0" xfId="36" applyNumberFormat="1" applyFont="1" applyFill="1" applyBorder="1"/>
    <xf numFmtId="165" fontId="3" fillId="2" borderId="0" xfId="0" applyNumberFormat="1" applyFont="1" applyFill="1"/>
    <xf numFmtId="0" fontId="23" fillId="2" borderId="0" xfId="0" applyFont="1" applyFill="1"/>
    <xf numFmtId="0" fontId="24" fillId="2" borderId="0" xfId="23" applyNumberFormat="1" applyFont="1" applyFill="1" applyAlignment="1">
      <alignment horizontal="left"/>
    </xf>
    <xf numFmtId="0" fontId="25" fillId="0" borderId="0" xfId="45"/>
    <xf numFmtId="0" fontId="1" fillId="2" borderId="0" xfId="0" applyFont="1" applyFill="1"/>
    <xf numFmtId="0" fontId="26" fillId="2" borderId="0" xfId="0" applyFont="1" applyFill="1" applyAlignment="1">
      <alignment horizontal="center" vertical="top" wrapText="1"/>
    </xf>
    <xf numFmtId="0" fontId="26" fillId="2" borderId="1" xfId="0" applyFont="1" applyFill="1" applyBorder="1" applyAlignment="1">
      <alignment wrapText="1"/>
    </xf>
    <xf numFmtId="165" fontId="1" fillId="2" borderId="2" xfId="23" applyNumberFormat="1" applyFont="1" applyFill="1" applyBorder="1"/>
    <xf numFmtId="0" fontId="26" fillId="2" borderId="1" xfId="0" applyFont="1" applyFill="1" applyBorder="1" applyAlignment="1">
      <alignment horizontal="right" wrapText="1"/>
    </xf>
    <xf numFmtId="0" fontId="1" fillId="2" borderId="0" xfId="0" applyFont="1" applyFill="1" applyAlignment="1">
      <alignment horizontal="left"/>
    </xf>
    <xf numFmtId="167" fontId="1" fillId="2" borderId="0" xfId="36" applyNumberFormat="1" applyFont="1" applyFill="1" applyBorder="1"/>
    <xf numFmtId="0" fontId="27" fillId="25" borderId="12" xfId="0" applyFont="1" applyFill="1" applyBorder="1" applyAlignment="1">
      <alignment horizontal="left" vertical="center" wrapText="1"/>
    </xf>
    <xf numFmtId="0" fontId="28" fillId="2" borderId="0" xfId="0" applyFont="1" applyFill="1"/>
    <xf numFmtId="0" fontId="1" fillId="2" borderId="0" xfId="0" applyFont="1" applyFill="1" applyAlignment="1">
      <alignment horizontal="center"/>
    </xf>
    <xf numFmtId="165" fontId="1" fillId="2" borderId="0" xfId="23" applyNumberFormat="1" applyFont="1" applyFill="1" applyBorder="1"/>
    <xf numFmtId="10" fontId="28" fillId="2" borderId="0" xfId="36" applyNumberFormat="1" applyFont="1" applyFill="1" applyBorder="1"/>
    <xf numFmtId="0" fontId="1" fillId="0" borderId="0" xfId="0" applyFont="1"/>
    <xf numFmtId="0" fontId="29" fillId="2" borderId="0" xfId="0" applyFont="1" applyFill="1" applyAlignment="1">
      <alignment horizontal="left"/>
    </xf>
    <xf numFmtId="0" fontId="29" fillId="2" borderId="0" xfId="0" applyFont="1" applyFill="1"/>
    <xf numFmtId="167" fontId="29" fillId="2" borderId="0" xfId="36" applyNumberFormat="1" applyFont="1" applyFill="1" applyBorder="1"/>
    <xf numFmtId="10" fontId="29" fillId="2" borderId="0" xfId="36" applyNumberFormat="1" applyFont="1" applyFill="1" applyBorder="1"/>
    <xf numFmtId="0" fontId="30" fillId="25" borderId="12" xfId="0" applyFont="1" applyFill="1" applyBorder="1" applyAlignment="1">
      <alignment horizontal="left" vertical="center" wrapText="1"/>
    </xf>
    <xf numFmtId="168" fontId="3" fillId="2" borderId="0" xfId="0" applyNumberFormat="1" applyFont="1" applyFill="1"/>
    <xf numFmtId="167" fontId="28" fillId="2" borderId="0" xfId="36" applyNumberFormat="1" applyFont="1" applyFill="1"/>
    <xf numFmtId="10" fontId="3" fillId="2" borderId="0" xfId="36" applyNumberFormat="1" applyFont="1" applyFill="1"/>
    <xf numFmtId="0" fontId="25" fillId="2" borderId="0" xfId="45" applyFill="1"/>
    <xf numFmtId="0" fontId="26" fillId="2" borderId="13" xfId="0" applyFont="1" applyFill="1" applyBorder="1" applyAlignment="1">
      <alignment wrapText="1"/>
    </xf>
    <xf numFmtId="0" fontId="26" fillId="2" borderId="0" xfId="0" applyFont="1" applyFill="1" applyAlignment="1">
      <alignment wrapText="1"/>
    </xf>
    <xf numFmtId="0" fontId="2" fillId="2" borderId="0" xfId="0" applyFont="1" applyFill="1" applyAlignment="1">
      <alignment wrapText="1"/>
    </xf>
    <xf numFmtId="165" fontId="3" fillId="2" borderId="0" xfId="23" applyNumberFormat="1" applyFont="1" applyFill="1" applyBorder="1"/>
    <xf numFmtId="0" fontId="31" fillId="2" borderId="0" xfId="0" applyFont="1" applyFill="1"/>
    <xf numFmtId="0" fontId="32" fillId="2" borderId="0" xfId="0" applyFont="1" applyFill="1"/>
  </cellXfs>
  <cellStyles count="48">
    <cellStyle name="20% - Énfasis1" xfId="1" xr:uid="{00000000-0005-0000-0000-000000000000}"/>
    <cellStyle name="20% - Énfasis2" xfId="2" xr:uid="{00000000-0005-0000-0000-000001000000}"/>
    <cellStyle name="20% - Énfasis3" xfId="3" xr:uid="{00000000-0005-0000-0000-000002000000}"/>
    <cellStyle name="20% - Énfasis4" xfId="4" xr:uid="{00000000-0005-0000-0000-000003000000}"/>
    <cellStyle name="20% - Énfasis5" xfId="5" xr:uid="{00000000-0005-0000-0000-000004000000}"/>
    <cellStyle name="20% - Énfasis6" xfId="6" xr:uid="{00000000-0005-0000-0000-000005000000}"/>
    <cellStyle name="40% - Énfasis1" xfId="7" xr:uid="{00000000-0005-0000-0000-000006000000}"/>
    <cellStyle name="40% - Énfasis2" xfId="8" xr:uid="{00000000-0005-0000-0000-000007000000}"/>
    <cellStyle name="40% - Énfasis3" xfId="9" xr:uid="{00000000-0005-0000-0000-000008000000}"/>
    <cellStyle name="40% - Énfasis4" xfId="10" xr:uid="{00000000-0005-0000-0000-000009000000}"/>
    <cellStyle name="40% - Énfasis5" xfId="11" xr:uid="{00000000-0005-0000-0000-00000A000000}"/>
    <cellStyle name="40% - Énfasis6" xfId="12" xr:uid="{00000000-0005-0000-0000-00000B000000}"/>
    <cellStyle name="60% - Énfasis1" xfId="13" xr:uid="{00000000-0005-0000-0000-00000C000000}"/>
    <cellStyle name="60% - Énfasis2" xfId="14" xr:uid="{00000000-0005-0000-0000-00000D000000}"/>
    <cellStyle name="60% - Énfasis3" xfId="15" xr:uid="{00000000-0005-0000-0000-00000E000000}"/>
    <cellStyle name="60% - Énfasis4" xfId="16" xr:uid="{00000000-0005-0000-0000-00000F000000}"/>
    <cellStyle name="60% - Énfasis5" xfId="17" xr:uid="{00000000-0005-0000-0000-000010000000}"/>
    <cellStyle name="60% - Énfasis6" xfId="18" xr:uid="{00000000-0005-0000-0000-000011000000}"/>
    <cellStyle name="Buena" xfId="19" xr:uid="{00000000-0005-0000-0000-000012000000}"/>
    <cellStyle name="Cálculo" xfId="20" xr:uid="{00000000-0005-0000-0000-000013000000}"/>
    <cellStyle name="Celda de comprobación" xfId="21" xr:uid="{00000000-0005-0000-0000-000014000000}"/>
    <cellStyle name="Celda vinculada" xfId="22" xr:uid="{00000000-0005-0000-0000-000015000000}"/>
    <cellStyle name="Comma" xfId="23" builtinId="3"/>
    <cellStyle name="Encabezado 4" xfId="24" xr:uid="{00000000-0005-0000-0000-000016000000}"/>
    <cellStyle name="Énfasis1" xfId="25" xr:uid="{00000000-0005-0000-0000-000017000000}"/>
    <cellStyle name="Énfasis2" xfId="26" xr:uid="{00000000-0005-0000-0000-000018000000}"/>
    <cellStyle name="Énfasis3" xfId="27" xr:uid="{00000000-0005-0000-0000-000019000000}"/>
    <cellStyle name="Énfasis4" xfId="28" xr:uid="{00000000-0005-0000-0000-00001A000000}"/>
    <cellStyle name="Énfasis5" xfId="29" xr:uid="{00000000-0005-0000-0000-00001B000000}"/>
    <cellStyle name="Énfasis6" xfId="30" xr:uid="{00000000-0005-0000-0000-00001C000000}"/>
    <cellStyle name="Entrada" xfId="31" xr:uid="{00000000-0005-0000-0000-00001D000000}"/>
    <cellStyle name="Euro" xfId="32" xr:uid="{00000000-0005-0000-0000-00001E000000}"/>
    <cellStyle name="Hyperlink" xfId="45" builtinId="8"/>
    <cellStyle name="Incorrecto" xfId="33" xr:uid="{00000000-0005-0000-0000-000020000000}"/>
    <cellStyle name="Neutral" xfId="34" xr:uid="{00000000-0005-0000-0000-000022000000}"/>
    <cellStyle name="Normal" xfId="0" builtinId="0"/>
    <cellStyle name="Normal 3" xfId="47" xr:uid="{C6F19790-7411-9C4D-9406-382C747E101F}"/>
    <cellStyle name="Normal 4" xfId="46" xr:uid="{00000000-0005-0000-0000-000024000000}"/>
    <cellStyle name="Notas" xfId="35" xr:uid="{00000000-0005-0000-0000-000025000000}"/>
    <cellStyle name="Percent" xfId="36" builtinId="5"/>
    <cellStyle name="Salida" xfId="37" xr:uid="{00000000-0005-0000-0000-000027000000}"/>
    <cellStyle name="Texto de advertencia" xfId="38" xr:uid="{00000000-0005-0000-0000-000028000000}"/>
    <cellStyle name="Texto explicativo" xfId="39" xr:uid="{00000000-0005-0000-0000-000029000000}"/>
    <cellStyle name="Título" xfId="40" xr:uid="{00000000-0005-0000-0000-00002A000000}"/>
    <cellStyle name="Título 1" xfId="41" xr:uid="{00000000-0005-0000-0000-00002B000000}"/>
    <cellStyle name="Título 2" xfId="42" xr:uid="{00000000-0005-0000-0000-00002C000000}"/>
    <cellStyle name="Título 3" xfId="43" xr:uid="{00000000-0005-0000-0000-00002D000000}"/>
    <cellStyle name="Total" xfId="44" xr:uid="{00000000-0005-0000-0000-00002E000000}"/>
  </cellStyles>
  <dxfs count="8"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</dxfs>
  <tableStyles count="0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inegi.org.mx/sistemas/bie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finanzaspublicas.hacienda.gob.mx/en/Finanzas_Publicas/Paquete_Economico_y_Presupuesto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www.inegi.org.mx/sistemas/bi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84"/>
  <sheetViews>
    <sheetView tabSelected="1" workbookViewId="0">
      <pane xSplit="1" ySplit="5" topLeftCell="B6" activePane="bottomRight" state="frozen"/>
      <selection pane="topRight" activeCell="B1" sqref="B1"/>
      <selection pane="bottomLeft" activeCell="A4" sqref="A4"/>
      <selection pane="bottomRight" activeCell="B3" sqref="B3"/>
    </sheetView>
  </sheetViews>
  <sheetFormatPr baseColWidth="10" defaultColWidth="9.6640625" defaultRowHeight="13" x14ac:dyDescent="0.15"/>
  <cols>
    <col min="1" max="22" width="11.1640625" style="14" customWidth="1"/>
    <col min="23" max="23" width="11.1640625" style="23" customWidth="1"/>
    <col min="24" max="35" width="11.1640625" style="14" customWidth="1"/>
    <col min="36" max="16384" width="9.6640625" style="14"/>
  </cols>
  <sheetData>
    <row r="1" spans="1:35" ht="23" x14ac:dyDescent="0.25">
      <c r="A1" s="41" t="s">
        <v>194</v>
      </c>
    </row>
    <row r="2" spans="1:35" ht="14" x14ac:dyDescent="0.15">
      <c r="A2" s="40" t="s">
        <v>195</v>
      </c>
      <c r="B2" s="40" t="s">
        <v>196</v>
      </c>
    </row>
    <row r="3" spans="1:35" x14ac:dyDescent="0.15">
      <c r="A3" s="12" t="s">
        <v>28</v>
      </c>
    </row>
    <row r="5" spans="1:35" ht="14" x14ac:dyDescent="0.15">
      <c r="B5" s="15" t="s">
        <v>152</v>
      </c>
      <c r="C5" s="15" t="s">
        <v>151</v>
      </c>
      <c r="D5" s="15" t="s">
        <v>150</v>
      </c>
      <c r="E5" s="15" t="s">
        <v>149</v>
      </c>
      <c r="F5" s="15" t="s">
        <v>148</v>
      </c>
      <c r="G5" s="15" t="s">
        <v>147</v>
      </c>
      <c r="H5" s="15" t="s">
        <v>146</v>
      </c>
      <c r="I5" s="15" t="s">
        <v>31</v>
      </c>
      <c r="J5" s="15" t="s">
        <v>30</v>
      </c>
      <c r="K5" s="15" t="s">
        <v>64</v>
      </c>
      <c r="L5" s="15" t="s">
        <v>32</v>
      </c>
      <c r="M5" s="15" t="s">
        <v>29</v>
      </c>
      <c r="N5" s="15" t="s">
        <v>33</v>
      </c>
      <c r="O5" s="15" t="s">
        <v>27</v>
      </c>
      <c r="P5" s="15" t="s">
        <v>34</v>
      </c>
      <c r="Q5" s="15" t="s">
        <v>35</v>
      </c>
      <c r="R5" s="15" t="s">
        <v>36</v>
      </c>
      <c r="S5" s="15" t="s">
        <v>119</v>
      </c>
      <c r="T5" s="15" t="s">
        <v>120</v>
      </c>
      <c r="U5" s="15" t="s">
        <v>121</v>
      </c>
      <c r="V5" s="15" t="s">
        <v>122</v>
      </c>
      <c r="W5" s="15" t="s">
        <v>101</v>
      </c>
      <c r="X5" s="15" t="s">
        <v>106</v>
      </c>
      <c r="Y5" s="15" t="s">
        <v>112</v>
      </c>
      <c r="Z5" s="15" t="s">
        <v>115</v>
      </c>
      <c r="AA5" s="15" t="s">
        <v>126</v>
      </c>
      <c r="AB5" s="15" t="s">
        <v>127</v>
      </c>
      <c r="AC5" s="15" t="s">
        <v>128</v>
      </c>
      <c r="AD5" s="15" t="s">
        <v>142</v>
      </c>
      <c r="AE5" s="15" t="s">
        <v>153</v>
      </c>
      <c r="AF5" s="15" t="s">
        <v>165</v>
      </c>
      <c r="AG5" s="15" t="s">
        <v>168</v>
      </c>
      <c r="AH5" s="15" t="s">
        <v>170</v>
      </c>
      <c r="AI5" s="15" t="s">
        <v>175</v>
      </c>
    </row>
    <row r="6" spans="1:35" x14ac:dyDescent="0.15">
      <c r="A6" s="16">
        <v>1993</v>
      </c>
      <c r="B6" s="17">
        <v>100</v>
      </c>
      <c r="C6" s="17">
        <v>92.284441778668523</v>
      </c>
      <c r="D6" s="17">
        <v>66.482929253323604</v>
      </c>
      <c r="E6" s="17">
        <v>52.474050566072208</v>
      </c>
      <c r="F6" s="17">
        <v>44.570122665913701</v>
      </c>
      <c r="G6" s="17">
        <v>38.516800884123633</v>
      </c>
      <c r="H6" s="17">
        <v>33.400197467742366</v>
      </c>
      <c r="I6" s="17">
        <v>30.172368213324845</v>
      </c>
      <c r="J6" s="17">
        <v>28.338044030540509</v>
      </c>
      <c r="K6" s="17">
        <v>26.860113526931112</v>
      </c>
      <c r="L6" s="17">
        <v>25.757766813468365</v>
      </c>
      <c r="M6" s="17">
        <v>23.823877136035996</v>
      </c>
      <c r="N6" s="17">
        <v>22.499769578551145</v>
      </c>
      <c r="O6" s="17">
        <v>21.204762027857516</v>
      </c>
      <c r="P6" s="17">
        <v>19.980404378634923</v>
      </c>
      <c r="Q6" s="17">
        <v>18.79440565435667</v>
      </c>
      <c r="R6" s="17">
        <v>17.858023340335446</v>
      </c>
      <c r="S6" s="17">
        <v>17.109817127354596</v>
      </c>
      <c r="T6" s="17">
        <v>16.191801306878833</v>
      </c>
      <c r="U6" s="17">
        <v>15.488289892288195</v>
      </c>
      <c r="V6" s="17">
        <v>15.228808833465482</v>
      </c>
      <c r="W6" s="17">
        <v>14.591402546271448</v>
      </c>
      <c r="X6" s="17">
        <v>14.135472910465726</v>
      </c>
      <c r="Y6" s="17">
        <v>13.325597989886063</v>
      </c>
      <c r="Z6" s="17">
        <v>12.504362136263655</v>
      </c>
      <c r="AA6" s="17">
        <v>11.885767377312684</v>
      </c>
      <c r="AB6" s="17">
        <v>11.393673456331854</v>
      </c>
      <c r="AC6" s="17">
        <v>10.890552774891042</v>
      </c>
      <c r="AD6" s="17">
        <v>10.422781195605928</v>
      </c>
      <c r="AE6" s="17">
        <v>9.7713589460201096</v>
      </c>
      <c r="AF6" s="17">
        <v>9.3348872677488703</v>
      </c>
      <c r="AG6" s="17">
        <v>8.988399552579299</v>
      </c>
      <c r="AH6" s="17">
        <v>8.593291951713308</v>
      </c>
      <c r="AI6" s="17">
        <v>8.2787013022286207</v>
      </c>
    </row>
    <row r="7" spans="1:35" x14ac:dyDescent="0.15">
      <c r="A7" s="16">
        <v>1994</v>
      </c>
      <c r="B7" s="17">
        <v>108.36062728735595</v>
      </c>
      <c r="C7" s="17">
        <v>100</v>
      </c>
      <c r="D7" s="17">
        <v>72.041319177910538</v>
      </c>
      <c r="E7" s="17">
        <v>56.8612103564802</v>
      </c>
      <c r="F7" s="17">
        <v>48.296464503528099</v>
      </c>
      <c r="G7" s="17">
        <v>41.737047049058233</v>
      </c>
      <c r="H7" s="17">
        <v>36.1926634912612</v>
      </c>
      <c r="I7" s="17">
        <v>32.694967463409597</v>
      </c>
      <c r="J7" s="17">
        <v>30.707282272460823</v>
      </c>
      <c r="K7" s="17">
        <v>29.1057875078785</v>
      </c>
      <c r="L7" s="17">
        <v>27.911277694288717</v>
      </c>
      <c r="M7" s="17">
        <v>25.815702708777579</v>
      </c>
      <c r="N7" s="17">
        <v>24.380891453527706</v>
      </c>
      <c r="O7" s="17">
        <v>22.977613148177465</v>
      </c>
      <c r="P7" s="17">
        <v>21.650891519239135</v>
      </c>
      <c r="Q7" s="17">
        <v>20.365735861991183</v>
      </c>
      <c r="R7" s="17">
        <v>19.351066112709926</v>
      </c>
      <c r="S7" s="17">
        <v>18.540305166920906</v>
      </c>
      <c r="T7" s="17">
        <v>17.545537465256203</v>
      </c>
      <c r="U7" s="17">
        <v>16.783208083367633</v>
      </c>
      <c r="V7" s="17">
        <v>16.502032780335472</v>
      </c>
      <c r="W7" s="17">
        <v>15.81133532916297</v>
      </c>
      <c r="X7" s="17">
        <v>15.317287115814931</v>
      </c>
      <c r="Y7" s="17">
        <v>14.439701571631833</v>
      </c>
      <c r="Z7" s="17">
        <v>13.54980524913792</v>
      </c>
      <c r="AA7" s="17">
        <v>12.879492087971938</v>
      </c>
      <c r="AB7" s="17">
        <v>12.346256028354167</v>
      </c>
      <c r="AC7" s="17">
        <v>11.801071301932483</v>
      </c>
      <c r="AD7" s="17">
        <v>11.294191084347162</v>
      </c>
      <c r="AE7" s="17">
        <v>10.588305848406565</v>
      </c>
      <c r="AF7" s="17">
        <v>10.115342399900198</v>
      </c>
      <c r="AG7" s="17">
        <v>9.7398861382688224</v>
      </c>
      <c r="AH7" s="17">
        <v>9.3117450635104131</v>
      </c>
      <c r="AI7" s="17">
        <v>8.9708526623414393</v>
      </c>
    </row>
    <row r="8" spans="1:35" x14ac:dyDescent="0.15">
      <c r="A8" s="16">
        <v>1995</v>
      </c>
      <c r="B8" s="17">
        <v>150.414551709905</v>
      </c>
      <c r="C8" s="17">
        <v>138.80922939937255</v>
      </c>
      <c r="D8" s="17">
        <v>100</v>
      </c>
      <c r="E8" s="17">
        <v>78.928607922986373</v>
      </c>
      <c r="F8" s="17">
        <v>67.039950204488846</v>
      </c>
      <c r="G8" s="17">
        <v>57.934873382851293</v>
      </c>
      <c r="H8" s="17">
        <v>50.238757291327715</v>
      </c>
      <c r="I8" s="17">
        <v>45.383632388334441</v>
      </c>
      <c r="J8" s="17">
        <v>42.624541891893003</v>
      </c>
      <c r="K8" s="17">
        <v>40.401519350304987</v>
      </c>
      <c r="L8" s="17">
        <v>38.743429482961119</v>
      </c>
      <c r="M8" s="17">
        <v>35.834577994087098</v>
      </c>
      <c r="N8" s="17">
        <v>33.842927547339286</v>
      </c>
      <c r="O8" s="17">
        <v>31.895047745354045</v>
      </c>
      <c r="P8" s="17">
        <v>30.053435675949945</v>
      </c>
      <c r="Q8" s="17">
        <v>28.26952101154162</v>
      </c>
      <c r="R8" s="17">
        <v>26.861065751615765</v>
      </c>
      <c r="S8" s="17">
        <v>25.735654730494961</v>
      </c>
      <c r="T8" s="17">
        <v>24.354825349500338</v>
      </c>
      <c r="U8" s="17">
        <v>23.296641809015817</v>
      </c>
      <c r="V8" s="17">
        <v>22.906344537615521</v>
      </c>
      <c r="W8" s="17">
        <v>21.947592728161862</v>
      </c>
      <c r="X8" s="17">
        <v>21.261808210352083</v>
      </c>
      <c r="Y8" s="17">
        <v>20.043638479151234</v>
      </c>
      <c r="Z8" s="17">
        <v>18.808380251444078</v>
      </c>
      <c r="AA8" s="17">
        <v>17.877923717867006</v>
      </c>
      <c r="AB8" s="17">
        <v>17.137742852631998</v>
      </c>
      <c r="AC8" s="17">
        <v>16.380976135082982</v>
      </c>
      <c r="AD8" s="17">
        <v>15.677379611074931</v>
      </c>
      <c r="AE8" s="17">
        <v>14.697545754621846</v>
      </c>
      <c r="AF8" s="17">
        <v>14.041028836409462</v>
      </c>
      <c r="AG8" s="17">
        <v>13.519860892907259</v>
      </c>
      <c r="AH8" s="17">
        <v>12.925561566292917</v>
      </c>
      <c r="AI8" s="17">
        <v>12.452371451149247</v>
      </c>
    </row>
    <row r="9" spans="1:35" x14ac:dyDescent="0.15">
      <c r="A9" s="16">
        <v>1996</v>
      </c>
      <c r="B9" s="17">
        <v>190.57038464009167</v>
      </c>
      <c r="C9" s="17">
        <v>175.86681566057007</v>
      </c>
      <c r="D9" s="17">
        <v>126.69677399805883</v>
      </c>
      <c r="E9" s="17">
        <v>100</v>
      </c>
      <c r="F9" s="17">
        <v>84.937454198992427</v>
      </c>
      <c r="G9" s="17">
        <v>73.40161559593264</v>
      </c>
      <c r="H9" s="17">
        <v>63.650884784826779</v>
      </c>
      <c r="I9" s="17">
        <v>57.499598159157919</v>
      </c>
      <c r="J9" s="17">
        <v>54.003919508479591</v>
      </c>
      <c r="K9" s="17">
        <v>51.18742166303791</v>
      </c>
      <c r="L9" s="17">
        <v>49.08667529112455</v>
      </c>
      <c r="M9" s="17">
        <v>45.401254294326655</v>
      </c>
      <c r="N9" s="17">
        <v>42.877897428979253</v>
      </c>
      <c r="O9" s="17">
        <v>40.409996558504169</v>
      </c>
      <c r="P9" s="17">
        <v>38.076733477010286</v>
      </c>
      <c r="Q9" s="17">
        <v>35.816571146326645</v>
      </c>
      <c r="R9" s="17">
        <v>34.032103768794606</v>
      </c>
      <c r="S9" s="17">
        <v>32.606244310815939</v>
      </c>
      <c r="T9" s="17">
        <v>30.856778030678388</v>
      </c>
      <c r="U9" s="17">
        <v>29.516093621906052</v>
      </c>
      <c r="V9" s="17">
        <v>29.021599570039431</v>
      </c>
      <c r="W9" s="17">
        <v>27.806891956813629</v>
      </c>
      <c r="X9" s="17">
        <v>26.938025096170492</v>
      </c>
      <c r="Y9" s="17">
        <v>25.394643344918194</v>
      </c>
      <c r="Z9" s="17">
        <v>23.829611019867635</v>
      </c>
      <c r="AA9" s="17">
        <v>22.65075260837132</v>
      </c>
      <c r="AB9" s="17">
        <v>21.71296733036764</v>
      </c>
      <c r="AC9" s="17">
        <v>20.754168312542035</v>
      </c>
      <c r="AD9" s="17">
        <v>19.862734214661362</v>
      </c>
      <c r="AE9" s="17">
        <v>18.621316327994535</v>
      </c>
      <c r="AF9" s="17">
        <v>17.789530571867964</v>
      </c>
      <c r="AG9" s="17">
        <v>17.129227600338648</v>
      </c>
      <c r="AH9" s="17">
        <v>16.376269525626093</v>
      </c>
      <c r="AI9" s="17">
        <v>15.776752914861362</v>
      </c>
    </row>
    <row r="10" spans="1:35" x14ac:dyDescent="0.15">
      <c r="A10" s="16">
        <v>1997</v>
      </c>
      <c r="B10" s="17">
        <v>224.36554808155802</v>
      </c>
      <c r="C10" s="17">
        <v>207.05449359071596</v>
      </c>
      <c r="D10" s="17">
        <v>149.164788599894</v>
      </c>
      <c r="E10" s="17">
        <v>117.73369115316179</v>
      </c>
      <c r="F10" s="17">
        <v>100</v>
      </c>
      <c r="G10" s="17">
        <v>86.418431407146386</v>
      </c>
      <c r="H10" s="17">
        <v>74.938536108822817</v>
      </c>
      <c r="I10" s="17">
        <v>67.696399311012087</v>
      </c>
      <c r="J10" s="17">
        <v>63.580807804715455</v>
      </c>
      <c r="K10" s="17">
        <v>60.264840930027695</v>
      </c>
      <c r="L10" s="17">
        <v>57.791554684607959</v>
      </c>
      <c r="M10" s="17">
        <v>53.452572510544151</v>
      </c>
      <c r="N10" s="17">
        <v>50.481731332003932</v>
      </c>
      <c r="O10" s="17">
        <v>47.576180543192613</v>
      </c>
      <c r="P10" s="17">
        <v>44.829143793035861</v>
      </c>
      <c r="Q10" s="17">
        <v>42.168171255068678</v>
      </c>
      <c r="R10" s="17">
        <v>40.067251944076183</v>
      </c>
      <c r="S10" s="17">
        <v>38.388534973541425</v>
      </c>
      <c r="T10" s="17">
        <v>36.328823746455576</v>
      </c>
      <c r="U10" s="17">
        <v>34.750386505292965</v>
      </c>
      <c r="V10" s="17">
        <v>34.168200405497558</v>
      </c>
      <c r="W10" s="17">
        <v>32.738080295728352</v>
      </c>
      <c r="X10" s="17">
        <v>31.715131269486584</v>
      </c>
      <c r="Y10" s="17">
        <v>29.898050965152944</v>
      </c>
      <c r="Z10" s="17">
        <v>28.055480641130771</v>
      </c>
      <c r="AA10" s="17">
        <v>26.66756711980663</v>
      </c>
      <c r="AB10" s="17">
        <v>25.56347789692196</v>
      </c>
      <c r="AC10" s="17">
        <v>24.434648422495613</v>
      </c>
      <c r="AD10" s="17">
        <v>23.385130154862807</v>
      </c>
      <c r="AE10" s="17">
        <v>21.923563054254373</v>
      </c>
      <c r="AF10" s="17">
        <v>20.944270981080329</v>
      </c>
      <c r="AG10" s="17">
        <v>20.166871919904853</v>
      </c>
      <c r="AH10" s="17">
        <v>19.280386585709977</v>
      </c>
      <c r="AI10" s="17">
        <v>18.574553550780326</v>
      </c>
    </row>
    <row r="11" spans="1:35" x14ac:dyDescent="0.15">
      <c r="A11" s="16">
        <v>1998</v>
      </c>
      <c r="B11" s="17">
        <v>259.62696201287923</v>
      </c>
      <c r="C11" s="17">
        <v>239.59529260050138</v>
      </c>
      <c r="D11" s="17">
        <v>172.60760947757586</v>
      </c>
      <c r="E11" s="17">
        <v>136.23678332979532</v>
      </c>
      <c r="F11" s="17">
        <v>115.71605544292545</v>
      </c>
      <c r="G11" s="17">
        <v>100</v>
      </c>
      <c r="H11" s="17">
        <v>86.715917991802115</v>
      </c>
      <c r="I11" s="17">
        <v>78.335602959594951</v>
      </c>
      <c r="J11" s="17">
        <v>73.573202810364407</v>
      </c>
      <c r="K11" s="17">
        <v>69.736096743181676</v>
      </c>
      <c r="L11" s="17">
        <v>66.874107460169526</v>
      </c>
      <c r="M11" s="17">
        <v>61.853208441971198</v>
      </c>
      <c r="N11" s="17">
        <v>58.415468216690336</v>
      </c>
      <c r="O11" s="17">
        <v>55.05327945498707</v>
      </c>
      <c r="P11" s="17">
        <v>51.874516886138146</v>
      </c>
      <c r="Q11" s="17">
        <v>48.795344428783018</v>
      </c>
      <c r="R11" s="17">
        <v>46.364243474063812</v>
      </c>
      <c r="S11" s="17">
        <v>44.421698413710018</v>
      </c>
      <c r="T11" s="17">
        <v>42.038281828211197</v>
      </c>
      <c r="U11" s="17">
        <v>40.211776515095686</v>
      </c>
      <c r="V11" s="17">
        <v>39.538093725075427</v>
      </c>
      <c r="W11" s="17">
        <v>37.883215145954466</v>
      </c>
      <c r="X11" s="17">
        <v>36.69949888359568</v>
      </c>
      <c r="Y11" s="17">
        <v>34.596845231190485</v>
      </c>
      <c r="Z11" s="17">
        <v>32.464695533470092</v>
      </c>
      <c r="AA11" s="17">
        <v>30.858656753634794</v>
      </c>
      <c r="AB11" s="17">
        <v>29.581048256342207</v>
      </c>
      <c r="AC11" s="17">
        <v>28.274811315858926</v>
      </c>
      <c r="AD11" s="17">
        <v>27.060350175401322</v>
      </c>
      <c r="AE11" s="17">
        <v>25.369082378925711</v>
      </c>
      <c r="AF11" s="17">
        <v>24.235884220583458</v>
      </c>
      <c r="AG11" s="17">
        <v>23.336308691940864</v>
      </c>
      <c r="AH11" s="17">
        <v>22.31050283113052</v>
      </c>
      <c r="AI11" s="17">
        <v>21.493740685096839</v>
      </c>
    </row>
    <row r="12" spans="1:35" x14ac:dyDescent="0.15">
      <c r="A12" s="16">
        <v>1999</v>
      </c>
      <c r="B12" s="17">
        <v>299.39942749314332</v>
      </c>
      <c r="C12" s="17">
        <v>276.29909035057676</v>
      </c>
      <c r="D12" s="17">
        <v>199.04950956512241</v>
      </c>
      <c r="E12" s="17">
        <v>157.10700697728274</v>
      </c>
      <c r="F12" s="17">
        <v>133.44269209473737</v>
      </c>
      <c r="G12" s="17">
        <v>115.31908133574014</v>
      </c>
      <c r="H12" s="17">
        <v>100</v>
      </c>
      <c r="I12" s="17">
        <v>90.335897691817763</v>
      </c>
      <c r="J12" s="17">
        <v>84.843941590193168</v>
      </c>
      <c r="K12" s="17">
        <v>80.419026123640108</v>
      </c>
      <c r="L12" s="17">
        <v>77.118606374543148</v>
      </c>
      <c r="M12" s="17">
        <v>71.328551751961655</v>
      </c>
      <c r="N12" s="17">
        <v>67.364181305458558</v>
      </c>
      <c r="O12" s="17">
        <v>63.486936112688852</v>
      </c>
      <c r="P12" s="17">
        <v>59.821216320447903</v>
      </c>
      <c r="Q12" s="17">
        <v>56.27034292988283</v>
      </c>
      <c r="R12" s="17">
        <v>53.466819642556239</v>
      </c>
      <c r="S12" s="17">
        <v>51.226694524423444</v>
      </c>
      <c r="T12" s="17">
        <v>48.478160413622533</v>
      </c>
      <c r="U12" s="17">
        <v>46.371851265989243</v>
      </c>
      <c r="V12" s="17">
        <v>45.594966461420903</v>
      </c>
      <c r="W12" s="17">
        <v>43.686575686756662</v>
      </c>
      <c r="X12" s="17">
        <v>42.32152496738275</v>
      </c>
      <c r="Y12" s="17">
        <v>39.896764091756694</v>
      </c>
      <c r="Z12" s="17">
        <v>37.437988647642776</v>
      </c>
      <c r="AA12" s="17">
        <v>35.585919480840978</v>
      </c>
      <c r="AB12" s="17">
        <v>34.112593098695811</v>
      </c>
      <c r="AC12" s="17">
        <v>32.606252658862417</v>
      </c>
      <c r="AD12" s="17">
        <v>31.205747228507153</v>
      </c>
      <c r="AE12" s="17">
        <v>29.255392742684261</v>
      </c>
      <c r="AF12" s="17">
        <v>27.94859903677045</v>
      </c>
      <c r="AG12" s="17">
        <v>26.911216801218679</v>
      </c>
      <c r="AH12" s="17">
        <v>25.728266906244006</v>
      </c>
      <c r="AI12" s="17">
        <v>24.786384302739894</v>
      </c>
    </row>
    <row r="13" spans="1:35" x14ac:dyDescent="0.15">
      <c r="A13" s="16">
        <v>2000</v>
      </c>
      <c r="B13" s="17">
        <v>331.4290720999407</v>
      </c>
      <c r="C13" s="17">
        <v>305.85746907965114</v>
      </c>
      <c r="D13" s="17">
        <v>220.34375552915049</v>
      </c>
      <c r="E13" s="17">
        <v>173.91425888438678</v>
      </c>
      <c r="F13" s="17">
        <v>147.71834398544314</v>
      </c>
      <c r="G13" s="17">
        <v>127.65587577283273</v>
      </c>
      <c r="H13" s="17">
        <v>110.69796454688641</v>
      </c>
      <c r="I13" s="17">
        <v>100</v>
      </c>
      <c r="J13" s="17">
        <v>93.920516381693048</v>
      </c>
      <c r="K13" s="17">
        <v>89.022225027298447</v>
      </c>
      <c r="L13" s="17">
        <v>85.368727543544665</v>
      </c>
      <c r="M13" s="17">
        <v>78.959254930194035</v>
      </c>
      <c r="N13" s="17">
        <v>74.570777538816799</v>
      </c>
      <c r="O13" s="17">
        <v>70.278746029928726</v>
      </c>
      <c r="P13" s="17">
        <v>66.220868833925635</v>
      </c>
      <c r="Q13" s="17">
        <v>62.290124266933098</v>
      </c>
      <c r="R13" s="17">
        <v>59.186681052264611</v>
      </c>
      <c r="S13" s="17">
        <v>56.706908143188073</v>
      </c>
      <c r="T13" s="17">
        <v>53.664336827654601</v>
      </c>
      <c r="U13" s="17">
        <v>51.332695474159671</v>
      </c>
      <c r="V13" s="17">
        <v>50.472699808628448</v>
      </c>
      <c r="W13" s="17">
        <v>48.360150065474585</v>
      </c>
      <c r="X13" s="17">
        <v>46.849066704095037</v>
      </c>
      <c r="Y13" s="17">
        <v>44.164905769647724</v>
      </c>
      <c r="Z13" s="17">
        <v>41.443091400234962</v>
      </c>
      <c r="AA13" s="17">
        <v>39.392888530584884</v>
      </c>
      <c r="AB13" s="17">
        <v>37.761946214417904</v>
      </c>
      <c r="AC13" s="17">
        <v>36.094458008375724</v>
      </c>
      <c r="AD13" s="17">
        <v>34.544127003603833</v>
      </c>
      <c r="AE13" s="17">
        <v>32.385124286348997</v>
      </c>
      <c r="AF13" s="17">
        <v>30.938530253075587</v>
      </c>
      <c r="AG13" s="17">
        <v>29.790169233748792</v>
      </c>
      <c r="AH13" s="17">
        <v>28.480667778402303</v>
      </c>
      <c r="AI13" s="17">
        <v>27.438022907902027</v>
      </c>
    </row>
    <row r="14" spans="1:35" x14ac:dyDescent="0.15">
      <c r="A14" s="16">
        <v>2001</v>
      </c>
      <c r="B14" s="17">
        <v>352.88250625988115</v>
      </c>
      <c r="C14" s="17">
        <v>325.65565103650636</v>
      </c>
      <c r="D14" s="17">
        <v>234.60662698411204</v>
      </c>
      <c r="E14" s="17">
        <v>185.17174477363295</v>
      </c>
      <c r="F14" s="17">
        <v>157.28016590657964</v>
      </c>
      <c r="G14" s="17">
        <v>135.91905229102355</v>
      </c>
      <c r="H14" s="17">
        <v>117.86345391991861</v>
      </c>
      <c r="I14" s="17">
        <v>106.47300914914044</v>
      </c>
      <c r="J14" s="17">
        <v>100</v>
      </c>
      <c r="K14" s="17">
        <v>94.784641798083868</v>
      </c>
      <c r="L14" s="17">
        <v>90.894653087943098</v>
      </c>
      <c r="M14" s="17">
        <v>84.070294725918629</v>
      </c>
      <c r="N14" s="17">
        <v>79.397750791489585</v>
      </c>
      <c r="O14" s="17">
        <v>74.827895690347205</v>
      </c>
      <c r="P14" s="17">
        <v>70.507351732185953</v>
      </c>
      <c r="Q14" s="17">
        <v>66.322169709742639</v>
      </c>
      <c r="R14" s="17">
        <v>63.017840331850273</v>
      </c>
      <c r="S14" s="17">
        <v>60.377551495491296</v>
      </c>
      <c r="T14" s="17">
        <v>57.138034260334223</v>
      </c>
      <c r="U14" s="17">
        <v>54.655465548702431</v>
      </c>
      <c r="V14" s="17">
        <v>53.73980228505917</v>
      </c>
      <c r="W14" s="17">
        <v>51.490507003750807</v>
      </c>
      <c r="X14" s="17">
        <v>49.881611078138022</v>
      </c>
      <c r="Y14" s="17">
        <v>47.023704160826284</v>
      </c>
      <c r="Z14" s="17">
        <v>44.125706498258808</v>
      </c>
      <c r="AA14" s="17">
        <v>41.942793809280346</v>
      </c>
      <c r="AB14" s="17">
        <v>40.206280447770673</v>
      </c>
      <c r="AC14" s="17">
        <v>38.430855577590542</v>
      </c>
      <c r="AD14" s="17">
        <v>36.780171505037806</v>
      </c>
      <c r="AE14" s="17">
        <v>34.481416344364874</v>
      </c>
      <c r="AF14" s="17">
        <v>32.941184146966755</v>
      </c>
      <c r="AG14" s="17">
        <v>31.718489613793778</v>
      </c>
      <c r="AH14" s="17">
        <v>30.32422400943458</v>
      </c>
      <c r="AI14" s="17">
        <v>29.214088641073776</v>
      </c>
    </row>
    <row r="15" spans="1:35" x14ac:dyDescent="0.15">
      <c r="A15" s="16">
        <v>2002</v>
      </c>
      <c r="B15" s="17">
        <v>372.29924549550276</v>
      </c>
      <c r="C15" s="17">
        <v>343.5742804517194</v>
      </c>
      <c r="D15" s="17">
        <v>247.51544399343265</v>
      </c>
      <c r="E15" s="17">
        <v>195.36049433841541</v>
      </c>
      <c r="F15" s="17">
        <v>165.93423040161676</v>
      </c>
      <c r="G15" s="17">
        <v>143.39775908059741</v>
      </c>
      <c r="H15" s="17">
        <v>124.34868316641283</v>
      </c>
      <c r="I15" s="17">
        <v>112.33149920633329</v>
      </c>
      <c r="J15" s="17">
        <v>105.50232411388566</v>
      </c>
      <c r="K15" s="17">
        <v>100</v>
      </c>
      <c r="L15" s="17">
        <v>95.895971503033721</v>
      </c>
      <c r="M15" s="17">
        <v>88.696114825237601</v>
      </c>
      <c r="N15" s="17">
        <v>83.766472379172569</v>
      </c>
      <c r="O15" s="17">
        <v>78.9451690388304</v>
      </c>
      <c r="P15" s="17">
        <v>74.386894748608199</v>
      </c>
      <c r="Q15" s="17">
        <v>69.971430446533986</v>
      </c>
      <c r="R15" s="17">
        <v>66.485286156479646</v>
      </c>
      <c r="S15" s="17">
        <v>63.699720070801455</v>
      </c>
      <c r="T15" s="17">
        <v>60.281954097640856</v>
      </c>
      <c r="U15" s="17">
        <v>57.662786409145163</v>
      </c>
      <c r="V15" s="17">
        <v>56.696740384944469</v>
      </c>
      <c r="W15" s="17">
        <v>54.323681586980179</v>
      </c>
      <c r="X15" s="17">
        <v>52.626258992885077</v>
      </c>
      <c r="Y15" s="17">
        <v>49.611100774109687</v>
      </c>
      <c r="Z15" s="17">
        <v>46.553645887334916</v>
      </c>
      <c r="AA15" s="17">
        <v>44.250622267085724</v>
      </c>
      <c r="AB15" s="17">
        <v>42.418560312144862</v>
      </c>
      <c r="AC15" s="17">
        <v>40.545445811208886</v>
      </c>
      <c r="AD15" s="17">
        <v>38.803935750888009</v>
      </c>
      <c r="AE15" s="17">
        <v>36.378695630690174</v>
      </c>
      <c r="AF15" s="17">
        <v>34.753714865684792</v>
      </c>
      <c r="AG15" s="17">
        <v>33.46374371637387</v>
      </c>
      <c r="AH15" s="17">
        <v>31.992761099454409</v>
      </c>
      <c r="AI15" s="17">
        <v>30.821542485023514</v>
      </c>
    </row>
    <row r="16" spans="1:35" x14ac:dyDescent="0.15">
      <c r="A16" s="18">
        <v>2003</v>
      </c>
      <c r="B16" s="17">
        <v>388.2324144176639</v>
      </c>
      <c r="C16" s="17">
        <v>358.27811644918819</v>
      </c>
      <c r="D16" s="17">
        <v>258.10828141576565</v>
      </c>
      <c r="E16" s="17">
        <v>203.72127345540795</v>
      </c>
      <c r="F16" s="17">
        <v>173.03566333479122</v>
      </c>
      <c r="G16" s="17">
        <v>149.53470602887731</v>
      </c>
      <c r="H16" s="17">
        <v>129.6703930492836</v>
      </c>
      <c r="I16" s="17">
        <v>117.13891360157882</v>
      </c>
      <c r="J16" s="17">
        <v>110.01747253850812</v>
      </c>
      <c r="K16" s="17">
        <v>104.27966726093018</v>
      </c>
      <c r="L16" s="17">
        <v>100</v>
      </c>
      <c r="M16" s="17">
        <v>92.492013413130351</v>
      </c>
      <c r="N16" s="17">
        <v>87.351398673220146</v>
      </c>
      <c r="O16" s="17">
        <v>82.323759592271216</v>
      </c>
      <c r="P16" s="17">
        <v>77.570406329586987</v>
      </c>
      <c r="Q16" s="17">
        <v>72.965974847358837</v>
      </c>
      <c r="R16" s="17">
        <v>69.330635181454255</v>
      </c>
      <c r="S16" s="17">
        <v>66.425856135975721</v>
      </c>
      <c r="T16" s="17">
        <v>62.861821151406559</v>
      </c>
      <c r="U16" s="17">
        <v>60.130561800837455</v>
      </c>
      <c r="V16" s="17">
        <v>59.123172221213515</v>
      </c>
      <c r="W16" s="17">
        <v>56.648554402790133</v>
      </c>
      <c r="X16" s="17">
        <v>54.878487769655912</v>
      </c>
      <c r="Y16" s="17">
        <v>51.734290811726346</v>
      </c>
      <c r="Z16" s="17">
        <v>48.54598702914457</v>
      </c>
      <c r="AA16" s="17">
        <v>46.144401661008075</v>
      </c>
      <c r="AB16" s="17">
        <v>44.233933550381657</v>
      </c>
      <c r="AC16" s="17">
        <v>42.28065598138938</v>
      </c>
      <c r="AD16" s="17">
        <v>40.464615085171154</v>
      </c>
      <c r="AE16" s="17">
        <v>37.935582757550272</v>
      </c>
      <c r="AF16" s="17">
        <v>36.241058222748535</v>
      </c>
      <c r="AG16" s="17">
        <v>34.895880600485107</v>
      </c>
      <c r="AH16" s="17">
        <v>33.361944822095367</v>
      </c>
      <c r="AI16" s="17">
        <v>32.140601948068756</v>
      </c>
    </row>
    <row r="17" spans="1:35" x14ac:dyDescent="0.15">
      <c r="A17" s="16">
        <v>2004</v>
      </c>
      <c r="B17" s="17">
        <v>419.74695986296871</v>
      </c>
      <c r="C17" s="17">
        <v>387.3611387924725</v>
      </c>
      <c r="D17" s="17">
        <v>279.06007436867412</v>
      </c>
      <c r="E17" s="17">
        <v>220.25823196804501</v>
      </c>
      <c r="F17" s="17">
        <v>187.08173489736873</v>
      </c>
      <c r="G17" s="17">
        <v>161.673100747582</v>
      </c>
      <c r="H17" s="17">
        <v>140.19631345907683</v>
      </c>
      <c r="I17" s="17">
        <v>126.64759829409178</v>
      </c>
      <c r="J17" s="17">
        <v>118.94807830282328</v>
      </c>
      <c r="K17" s="17">
        <v>112.74450994503538</v>
      </c>
      <c r="L17" s="17">
        <v>108.11744312812614</v>
      </c>
      <c r="M17" s="17">
        <v>100</v>
      </c>
      <c r="N17" s="17">
        <v>94.442098782141528</v>
      </c>
      <c r="O17" s="17">
        <v>89.006343958109127</v>
      </c>
      <c r="P17" s="17">
        <v>83.867139947647573</v>
      </c>
      <c r="Q17" s="17">
        <v>78.888946358476019</v>
      </c>
      <c r="R17" s="17">
        <v>74.958510062677419</v>
      </c>
      <c r="S17" s="17">
        <v>71.817937230184441</v>
      </c>
      <c r="T17" s="17">
        <v>67.964593732676349</v>
      </c>
      <c r="U17" s="17">
        <v>65.011625957643176</v>
      </c>
      <c r="V17" s="17">
        <v>63.922462101814602</v>
      </c>
      <c r="W17" s="17">
        <v>61.246968589342224</v>
      </c>
      <c r="X17" s="17">
        <v>59.333217803933394</v>
      </c>
      <c r="Y17" s="17">
        <v>55.933792446107624</v>
      </c>
      <c r="Z17" s="17">
        <v>52.486679917222865</v>
      </c>
      <c r="AA17" s="17">
        <v>49.890147222654505</v>
      </c>
      <c r="AB17" s="17">
        <v>47.824597949666995</v>
      </c>
      <c r="AC17" s="17">
        <v>45.712764184877329</v>
      </c>
      <c r="AD17" s="17">
        <v>43.749307201725067</v>
      </c>
      <c r="AE17" s="17">
        <v>41.014982113217641</v>
      </c>
      <c r="AF17" s="17">
        <v>39.182905513011228</v>
      </c>
      <c r="AG17" s="17">
        <v>37.728533862288288</v>
      </c>
      <c r="AH17" s="17">
        <v>36.070081719465783</v>
      </c>
      <c r="AI17" s="17">
        <v>34.749597032240636</v>
      </c>
    </row>
    <row r="18" spans="1:35" x14ac:dyDescent="0.15">
      <c r="A18" s="16">
        <v>2005</v>
      </c>
      <c r="B18" s="17">
        <v>444.44899602584911</v>
      </c>
      <c r="C18" s="17">
        <v>410.15727497335155</v>
      </c>
      <c r="D18" s="17">
        <v>295.48271159497233</v>
      </c>
      <c r="E18" s="17">
        <v>233.22039091500432</v>
      </c>
      <c r="F18" s="17">
        <v>198.09146271614287</v>
      </c>
      <c r="G18" s="17">
        <v>171.18753483076287</v>
      </c>
      <c r="H18" s="17">
        <v>148.44684231603202</v>
      </c>
      <c r="I18" s="17">
        <v>134.10078760134471</v>
      </c>
      <c r="J18" s="17">
        <v>125.94815218710038</v>
      </c>
      <c r="K18" s="17">
        <v>119.37950490184863</v>
      </c>
      <c r="L18" s="17">
        <v>114.48013600113951</v>
      </c>
      <c r="M18" s="17">
        <v>105.88498274554381</v>
      </c>
      <c r="N18" s="17">
        <v>100</v>
      </c>
      <c r="O18" s="17">
        <v>94.24435194248322</v>
      </c>
      <c r="P18" s="17">
        <v>88.80270666274771</v>
      </c>
      <c r="Q18" s="17">
        <v>83.531547239813648</v>
      </c>
      <c r="R18" s="17">
        <v>79.36980544618271</v>
      </c>
      <c r="S18" s="17">
        <v>76.044410444386287</v>
      </c>
      <c r="T18" s="17">
        <v>71.9642983469233</v>
      </c>
      <c r="U18" s="17">
        <v>68.837548927847962</v>
      </c>
      <c r="V18" s="17">
        <v>67.684287967033171</v>
      </c>
      <c r="W18" s="17">
        <v>64.851342122993643</v>
      </c>
      <c r="X18" s="17">
        <v>62.8249674340708</v>
      </c>
      <c r="Y18" s="17">
        <v>59.225486480489344</v>
      </c>
      <c r="Z18" s="17">
        <v>55.575511974060241</v>
      </c>
      <c r="AA18" s="17">
        <v>52.826173778434125</v>
      </c>
      <c r="AB18" s="17">
        <v>50.639067287130587</v>
      </c>
      <c r="AC18" s="17">
        <v>48.402952469668492</v>
      </c>
      <c r="AD18" s="17">
        <v>46.323946381841544</v>
      </c>
      <c r="AE18" s="17">
        <v>43.428706733668378</v>
      </c>
      <c r="AF18" s="17">
        <v>41.488812741654677</v>
      </c>
      <c r="AG18" s="17">
        <v>39.948851570230609</v>
      </c>
      <c r="AH18" s="17">
        <v>38.19279980495989</v>
      </c>
      <c r="AI18" s="17">
        <v>36.794604821734005</v>
      </c>
    </row>
    <row r="19" spans="1:35" x14ac:dyDescent="0.15">
      <c r="A19" s="16">
        <v>2006</v>
      </c>
      <c r="B19" s="17">
        <v>471.59218230615431</v>
      </c>
      <c r="C19" s="17">
        <v>435.20621291307532</v>
      </c>
      <c r="D19" s="17">
        <v>313.52829692680547</v>
      </c>
      <c r="E19" s="17">
        <v>247.46352020897481</v>
      </c>
      <c r="F19" s="17">
        <v>210.18921413671237</v>
      </c>
      <c r="G19" s="17">
        <v>181.64222184395479</v>
      </c>
      <c r="H19" s="17">
        <v>157.5127201326911</v>
      </c>
      <c r="I19" s="17">
        <v>142.29052971066707</v>
      </c>
      <c r="J19" s="17">
        <v>133.6400002665049</v>
      </c>
      <c r="K19" s="17">
        <v>126.670195551565</v>
      </c>
      <c r="L19" s="17">
        <v>121.47161462896585</v>
      </c>
      <c r="M19" s="17">
        <v>112.35154209576909</v>
      </c>
      <c r="N19" s="17">
        <v>106.10715436934557</v>
      </c>
      <c r="O19" s="17">
        <v>100</v>
      </c>
      <c r="P19" s="17">
        <v>94.226025042798838</v>
      </c>
      <c r="Q19" s="17">
        <v>88.632947776851893</v>
      </c>
      <c r="R19" s="17">
        <v>84.217041987430335</v>
      </c>
      <c r="S19" s="17">
        <v>80.688559979483699</v>
      </c>
      <c r="T19" s="17">
        <v>76.359269137786313</v>
      </c>
      <c r="U19" s="17">
        <v>73.04156430494541</v>
      </c>
      <c r="V19" s="17">
        <v>71.81787191697228</v>
      </c>
      <c r="W19" s="17">
        <v>68.811913697037298</v>
      </c>
      <c r="X19" s="17">
        <v>66.661785177760578</v>
      </c>
      <c r="Y19" s="17">
        <v>62.84247836584872</v>
      </c>
      <c r="Z19" s="17">
        <v>58.969594281870229</v>
      </c>
      <c r="AA19" s="17">
        <v>56.052349758501855</v>
      </c>
      <c r="AB19" s="17">
        <v>53.731673297552426</v>
      </c>
      <c r="AC19" s="17">
        <v>51.358995496312112</v>
      </c>
      <c r="AD19" s="17">
        <v>49.153021297353476</v>
      </c>
      <c r="AE19" s="17">
        <v>46.080964894503879</v>
      </c>
      <c r="AF19" s="17">
        <v>44.022598581796238</v>
      </c>
      <c r="AG19" s="17">
        <v>42.388589604405325</v>
      </c>
      <c r="AH19" s="17">
        <v>40.525293047023908</v>
      </c>
      <c r="AI19" s="17">
        <v>39.041708137787964</v>
      </c>
    </row>
    <row r="20" spans="1:35" x14ac:dyDescent="0.15">
      <c r="A20" s="16">
        <v>2007</v>
      </c>
      <c r="B20" s="17">
        <v>500.49037099033973</v>
      </c>
      <c r="C20" s="17">
        <v>461.87474502442217</v>
      </c>
      <c r="D20" s="17">
        <v>332.74065926520444</v>
      </c>
      <c r="E20" s="17">
        <v>262.62757035179322</v>
      </c>
      <c r="F20" s="17">
        <v>223.069172281481</v>
      </c>
      <c r="G20" s="17">
        <v>192.77287963856082</v>
      </c>
      <c r="H20" s="17">
        <v>167.1647722178098</v>
      </c>
      <c r="I20" s="17">
        <v>151.00979760744087</v>
      </c>
      <c r="J20" s="17">
        <v>141.82918169985803</v>
      </c>
      <c r="K20" s="17">
        <v>134.43228183936395</v>
      </c>
      <c r="L20" s="17">
        <v>128.91514268355442</v>
      </c>
      <c r="M20" s="17">
        <v>119.23621106242928</v>
      </c>
      <c r="N20" s="17">
        <v>112.60918023566222</v>
      </c>
      <c r="O20" s="17">
        <v>106.12779214084276</v>
      </c>
      <c r="P20" s="17">
        <v>100</v>
      </c>
      <c r="Q20" s="17">
        <v>94.064190584919089</v>
      </c>
      <c r="R20" s="17">
        <v>89.377687267586339</v>
      </c>
      <c r="S20" s="17">
        <v>85.632987216465708</v>
      </c>
      <c r="T20" s="17">
        <v>81.038406430816551</v>
      </c>
      <c r="U20" s="17">
        <v>77.51739954197248</v>
      </c>
      <c r="V20" s="17">
        <v>76.218721828021017</v>
      </c>
      <c r="W20" s="17">
        <v>73.028564736527841</v>
      </c>
      <c r="X20" s="17">
        <v>70.746680810828877</v>
      </c>
      <c r="Y20" s="17">
        <v>66.693334816262009</v>
      </c>
      <c r="Z20" s="17">
        <v>62.583128445761538</v>
      </c>
      <c r="AA20" s="17">
        <v>59.487121241761024</v>
      </c>
      <c r="AB20" s="17">
        <v>57.024238551023167</v>
      </c>
      <c r="AC20" s="17">
        <v>54.506167985950917</v>
      </c>
      <c r="AD20" s="17">
        <v>52.16501627339948</v>
      </c>
      <c r="AE20" s="17">
        <v>48.9047106397338</v>
      </c>
      <c r="AF20" s="17">
        <v>46.720211917886303</v>
      </c>
      <c r="AG20" s="17">
        <v>44.986074266798163</v>
      </c>
      <c r="AH20" s="17">
        <v>43.008598769412934</v>
      </c>
      <c r="AI20" s="17">
        <v>41.434102860706105</v>
      </c>
    </row>
    <row r="21" spans="1:35" x14ac:dyDescent="0.15">
      <c r="A21" s="16">
        <v>2008</v>
      </c>
      <c r="B21" s="17">
        <v>532.0732234850924</v>
      </c>
      <c r="C21" s="17">
        <v>491.02080414698497</v>
      </c>
      <c r="D21" s="17">
        <v>353.73786474547239</v>
      </c>
      <c r="E21" s="17">
        <v>279.20037234009772</v>
      </c>
      <c r="F21" s="17">
        <v>237.1456883797868</v>
      </c>
      <c r="G21" s="17">
        <v>204.93758404749119</v>
      </c>
      <c r="H21" s="17">
        <v>177.71350731700301</v>
      </c>
      <c r="I21" s="17">
        <v>160.53909215442889</v>
      </c>
      <c r="J21" s="17">
        <v>150.77914434592168</v>
      </c>
      <c r="K21" s="17">
        <v>142.91547187449771</v>
      </c>
      <c r="L21" s="17">
        <v>137.05018018219448</v>
      </c>
      <c r="M21" s="17">
        <v>126.76047103683463</v>
      </c>
      <c r="N21" s="17">
        <v>119.71524927331527</v>
      </c>
      <c r="O21" s="17">
        <v>112.82486085396432</v>
      </c>
      <c r="P21" s="17">
        <v>106.31038164275937</v>
      </c>
      <c r="Q21" s="17">
        <v>100</v>
      </c>
      <c r="R21" s="17">
        <v>95.017760437642977</v>
      </c>
      <c r="S21" s="17">
        <v>91.036755521920028</v>
      </c>
      <c r="T21" s="17">
        <v>86.152239153811522</v>
      </c>
      <c r="U21" s="17">
        <v>82.409043292613532</v>
      </c>
      <c r="V21" s="17">
        <v>81.02841405860228</v>
      </c>
      <c r="W21" s="17">
        <v>77.63694587963235</v>
      </c>
      <c r="X21" s="17">
        <v>75.211066369576997</v>
      </c>
      <c r="Y21" s="17">
        <v>70.901938773451448</v>
      </c>
      <c r="Z21" s="17">
        <v>66.532362694667384</v>
      </c>
      <c r="AA21" s="17">
        <v>63.240985620407116</v>
      </c>
      <c r="AB21" s="17">
        <v>60.62268563247023</v>
      </c>
      <c r="AC21" s="17">
        <v>57.945715204707938</v>
      </c>
      <c r="AD21" s="17">
        <v>55.456827884258509</v>
      </c>
      <c r="AE21" s="17">
        <v>51.990784522388147</v>
      </c>
      <c r="AF21" s="17">
        <v>49.668435594210877</v>
      </c>
      <c r="AG21" s="17">
        <v>47.824867239128295</v>
      </c>
      <c r="AH21" s="17">
        <v>45.722605490966004</v>
      </c>
      <c r="AI21" s="17">
        <v>44.048752881470136</v>
      </c>
    </row>
    <row r="22" spans="1:35" x14ac:dyDescent="0.15">
      <c r="A22" s="16">
        <v>2009</v>
      </c>
      <c r="B22" s="17">
        <v>559.97238940847751</v>
      </c>
      <c r="C22" s="17">
        <v>516.76739368028541</v>
      </c>
      <c r="D22" s="17">
        <v>372.2860474885839</v>
      </c>
      <c r="E22" s="17">
        <v>293.84019477424721</v>
      </c>
      <c r="F22" s="17">
        <v>249.58038085460635</v>
      </c>
      <c r="G22" s="17">
        <v>215.6834502345327</v>
      </c>
      <c r="H22" s="17">
        <v>187.03188382726671</v>
      </c>
      <c r="I22" s="17">
        <v>168.95693122527908</v>
      </c>
      <c r="J22" s="17">
        <v>158.6852222694441</v>
      </c>
      <c r="K22" s="17">
        <v>150.4092195145858</v>
      </c>
      <c r="L22" s="17">
        <v>144.23638228364263</v>
      </c>
      <c r="M22" s="17">
        <v>133.40713404840074</v>
      </c>
      <c r="N22" s="17">
        <v>125.99249732041457</v>
      </c>
      <c r="O22" s="17">
        <v>118.74081259577525</v>
      </c>
      <c r="P22" s="17">
        <v>111.88474781251803</v>
      </c>
      <c r="Q22" s="17">
        <v>105.24348241782305</v>
      </c>
      <c r="R22" s="17">
        <v>100</v>
      </c>
      <c r="S22" s="17">
        <v>95.810251791468446</v>
      </c>
      <c r="T22" s="17">
        <v>90.669616666402504</v>
      </c>
      <c r="U22" s="17">
        <v>86.730146988357916</v>
      </c>
      <c r="V22" s="17">
        <v>85.277124703205956</v>
      </c>
      <c r="W22" s="17">
        <v>81.707825486565653</v>
      </c>
      <c r="X22" s="17">
        <v>79.15474541092297</v>
      </c>
      <c r="Y22" s="17">
        <v>74.619669466933033</v>
      </c>
      <c r="Z22" s="17">
        <v>70.020975434724534</v>
      </c>
      <c r="AA22" s="17">
        <v>66.557015582271163</v>
      </c>
      <c r="AB22" s="17">
        <v>63.80142549482094</v>
      </c>
      <c r="AC22" s="17">
        <v>60.984088593348616</v>
      </c>
      <c r="AD22" s="17">
        <v>58.364696903851986</v>
      </c>
      <c r="AE22" s="17">
        <v>54.716912167707832</v>
      </c>
      <c r="AF22" s="17">
        <v>52.272791281801091</v>
      </c>
      <c r="AG22" s="17">
        <v>50.332555744159194</v>
      </c>
      <c r="AH22" s="17">
        <v>48.120062270855399</v>
      </c>
      <c r="AI22" s="17">
        <v>46.358441494080353</v>
      </c>
    </row>
    <row r="23" spans="1:35" x14ac:dyDescent="0.15">
      <c r="A23" s="16">
        <v>2010</v>
      </c>
      <c r="B23" s="17">
        <v>584.45978268302702</v>
      </c>
      <c r="C23" s="17">
        <v>539.36544786985064</v>
      </c>
      <c r="D23" s="17">
        <v>388.56598383528575</v>
      </c>
      <c r="E23" s="17">
        <v>306.68972190344726</v>
      </c>
      <c r="F23" s="17">
        <v>260.49444207475779</v>
      </c>
      <c r="G23" s="17">
        <v>225.1152107438032</v>
      </c>
      <c r="H23" s="17">
        <v>195.21072153566891</v>
      </c>
      <c r="I23" s="17">
        <v>176.34535768992112</v>
      </c>
      <c r="J23" s="17">
        <v>165.62447055751755</v>
      </c>
      <c r="K23" s="17">
        <v>156.98656114791592</v>
      </c>
      <c r="L23" s="17">
        <v>150.54378794199806</v>
      </c>
      <c r="M23" s="17">
        <v>139.24098053594733</v>
      </c>
      <c r="N23" s="17">
        <v>131.50210438298186</v>
      </c>
      <c r="O23" s="17">
        <v>123.93330606646906</v>
      </c>
      <c r="P23" s="17">
        <v>116.77742801055967</v>
      </c>
      <c r="Q23" s="17">
        <v>109.84574244401952</v>
      </c>
      <c r="R23" s="17">
        <v>104.37296440640877</v>
      </c>
      <c r="S23" s="17">
        <v>100</v>
      </c>
      <c r="T23" s="17">
        <v>94.634566730651557</v>
      </c>
      <c r="U23" s="17">
        <v>90.522825445784832</v>
      </c>
      <c r="V23" s="17">
        <v>89.006263013285974</v>
      </c>
      <c r="W23" s="17">
        <v>85.280879612343767</v>
      </c>
      <c r="X23" s="17">
        <v>82.616154253726123</v>
      </c>
      <c r="Y23" s="17">
        <v>77.882761052901898</v>
      </c>
      <c r="Z23" s="17">
        <v>73.082967767505266</v>
      </c>
      <c r="AA23" s="17">
        <v>69.467530183651832</v>
      </c>
      <c r="AB23" s="17">
        <v>66.591439122490883</v>
      </c>
      <c r="AC23" s="17">
        <v>63.650901081108543</v>
      </c>
      <c r="AD23" s="17">
        <v>60.916964325365811</v>
      </c>
      <c r="AE23" s="17">
        <v>57.109663261087654</v>
      </c>
      <c r="AF23" s="17">
        <v>54.558661838790599</v>
      </c>
      <c r="AG23" s="17">
        <v>52.53358049168714</v>
      </c>
      <c r="AH23" s="17">
        <v>50.224335466301653</v>
      </c>
      <c r="AI23" s="17">
        <v>48.385679639982321</v>
      </c>
    </row>
    <row r="24" spans="1:35" x14ac:dyDescent="0.15">
      <c r="A24" s="16">
        <v>2011</v>
      </c>
      <c r="B24" s="17">
        <v>617.59651137465823</v>
      </c>
      <c r="C24" s="17">
        <v>569.94549296663445</v>
      </c>
      <c r="D24" s="17">
        <v>410.5962517282087</v>
      </c>
      <c r="E24" s="17">
        <v>324.07790567303601</v>
      </c>
      <c r="F24" s="17">
        <v>275.26352270008886</v>
      </c>
      <c r="G24" s="17">
        <v>237.87841855347108</v>
      </c>
      <c r="H24" s="17">
        <v>206.27845435302373</v>
      </c>
      <c r="I24" s="17">
        <v>186.34349348461055</v>
      </c>
      <c r="J24" s="17">
        <v>175.01477132443279</v>
      </c>
      <c r="K24" s="17">
        <v>165.8871240935992</v>
      </c>
      <c r="L24" s="17">
        <v>159.07906924800008</v>
      </c>
      <c r="M24" s="17">
        <v>147.13543406634315</v>
      </c>
      <c r="N24" s="17">
        <v>138.95779198446851</v>
      </c>
      <c r="O24" s="17">
        <v>130.95987052934623</v>
      </c>
      <c r="P24" s="17">
        <v>123.39828040099871</v>
      </c>
      <c r="Q24" s="17">
        <v>116.07359365490831</v>
      </c>
      <c r="R24" s="17">
        <v>110.2905291503839</v>
      </c>
      <c r="S24" s="17">
        <v>105.66963368112575</v>
      </c>
      <c r="T24" s="17">
        <v>100</v>
      </c>
      <c r="U24" s="17">
        <v>95.655138046365707</v>
      </c>
      <c r="V24" s="17">
        <v>94.052592079398607</v>
      </c>
      <c r="W24" s="17">
        <v>90.11599308640551</v>
      </c>
      <c r="X24" s="17">
        <v>87.300187561346192</v>
      </c>
      <c r="Y24" s="17">
        <v>82.298428305347898</v>
      </c>
      <c r="Z24" s="17">
        <v>77.226504323218023</v>
      </c>
      <c r="AA24" s="17">
        <v>73.40608467239035</v>
      </c>
      <c r="AB24" s="17">
        <v>70.366929783725979</v>
      </c>
      <c r="AC24" s="17">
        <v>67.259674007143104</v>
      </c>
      <c r="AD24" s="17">
        <v>64.370733052276094</v>
      </c>
      <c r="AE24" s="17">
        <v>60.34757196451578</v>
      </c>
      <c r="AF24" s="17">
        <v>57.651938106374168</v>
      </c>
      <c r="AG24" s="17">
        <v>55.512042065145138</v>
      </c>
      <c r="AH24" s="17">
        <v>53.071871306020668</v>
      </c>
      <c r="AI24" s="17">
        <v>51.128970429692359</v>
      </c>
    </row>
    <row r="25" spans="1:35" x14ac:dyDescent="0.15">
      <c r="A25" s="16">
        <v>2012</v>
      </c>
      <c r="B25" s="17">
        <v>645.64907226969717</v>
      </c>
      <c r="C25" s="17">
        <v>595.8336421932421</v>
      </c>
      <c r="D25" s="17">
        <v>429.24641594180298</v>
      </c>
      <c r="E25" s="17">
        <v>338.7982206621769</v>
      </c>
      <c r="F25" s="17">
        <v>287.76658350193782</v>
      </c>
      <c r="G25" s="17">
        <v>248.6833675763107</v>
      </c>
      <c r="H25" s="17">
        <v>215.64806508672541</v>
      </c>
      <c r="I25" s="17">
        <v>194.80761545112887</v>
      </c>
      <c r="J25" s="17">
        <v>182.96431838256308</v>
      </c>
      <c r="K25" s="17">
        <v>173.42207379721813</v>
      </c>
      <c r="L25" s="17">
        <v>166.3047824685504</v>
      </c>
      <c r="M25" s="17">
        <v>153.81864170748889</v>
      </c>
      <c r="N25" s="17">
        <v>145.26955354673501</v>
      </c>
      <c r="O25" s="17">
        <v>136.90834930985903</v>
      </c>
      <c r="P25" s="17">
        <v>129.00329550639032</v>
      </c>
      <c r="Q25" s="17">
        <v>121.34590574595734</v>
      </c>
      <c r="R25" s="17">
        <v>115.30016202258177</v>
      </c>
      <c r="S25" s="17">
        <v>110.4693755498067</v>
      </c>
      <c r="T25" s="17">
        <v>104.54221492161588</v>
      </c>
      <c r="U25" s="17">
        <v>100</v>
      </c>
      <c r="V25" s="17">
        <v>98.324662950995574</v>
      </c>
      <c r="W25" s="17">
        <v>94.209255171138565</v>
      </c>
      <c r="X25" s="17">
        <v>91.265549707356314</v>
      </c>
      <c r="Y25" s="17">
        <v>86.036599796088765</v>
      </c>
      <c r="Z25" s="17">
        <v>80.734298126029572</v>
      </c>
      <c r="AA25" s="17">
        <v>76.740346803753653</v>
      </c>
      <c r="AB25" s="17">
        <v>73.563146968245348</v>
      </c>
      <c r="AC25" s="17">
        <v>70.314752956125758</v>
      </c>
      <c r="AD25" s="17">
        <v>67.294590094130115</v>
      </c>
      <c r="AE25" s="17">
        <v>63.088688383120896</v>
      </c>
      <c r="AF25" s="17">
        <v>60.270613041642648</v>
      </c>
      <c r="AG25" s="17">
        <v>58.033518323121847</v>
      </c>
      <c r="AH25" s="17">
        <v>55.482509763663522</v>
      </c>
      <c r="AI25" s="17">
        <v>53.451358153818418</v>
      </c>
    </row>
    <row r="26" spans="1:35" x14ac:dyDescent="0.15">
      <c r="A26" s="16">
        <v>2013</v>
      </c>
      <c r="B26" s="17">
        <v>656.65017594973585</v>
      </c>
      <c r="C26" s="17">
        <v>605.98594931385833</v>
      </c>
      <c r="D26" s="17">
        <v>436.5602719184879</v>
      </c>
      <c r="E26" s="17">
        <v>344.57094537006645</v>
      </c>
      <c r="F26" s="17">
        <v>292.66978890673539</v>
      </c>
      <c r="G26" s="17">
        <v>252.92064077580724</v>
      </c>
      <c r="H26" s="17">
        <v>219.32245543948943</v>
      </c>
      <c r="I26" s="17">
        <v>198.12690896099977</v>
      </c>
      <c r="J26" s="17">
        <v>186.08181598725787</v>
      </c>
      <c r="K26" s="17">
        <v>176.37698273489193</v>
      </c>
      <c r="L26" s="17">
        <v>169.13842110136267</v>
      </c>
      <c r="M26" s="17">
        <v>156.43953113182926</v>
      </c>
      <c r="N26" s="17">
        <v>147.74477652584122</v>
      </c>
      <c r="O26" s="17">
        <v>139.24110716564911</v>
      </c>
      <c r="P26" s="17">
        <v>131.20136050777492</v>
      </c>
      <c r="Q26" s="17">
        <v>123.41349779804017</v>
      </c>
      <c r="R26" s="17">
        <v>117.26474168545759</v>
      </c>
      <c r="S26" s="17">
        <v>112.35164427145199</v>
      </c>
      <c r="T26" s="17">
        <v>106.32349177105149</v>
      </c>
      <c r="U26" s="17">
        <v>101.70388282931557</v>
      </c>
      <c r="V26" s="17">
        <v>100</v>
      </c>
      <c r="W26" s="17">
        <v>95.814470493625691</v>
      </c>
      <c r="X26" s="17">
        <v>92.820607737900431</v>
      </c>
      <c r="Y26" s="17">
        <v>87.502562646941286</v>
      </c>
      <c r="Z26" s="17">
        <v>82.109915969167432</v>
      </c>
      <c r="AA26" s="17">
        <v>78.047912396100045</v>
      </c>
      <c r="AB26" s="17">
        <v>74.816576798141469</v>
      </c>
      <c r="AC26" s="17">
        <v>71.512833958220853</v>
      </c>
      <c r="AD26" s="17">
        <v>68.441211059802299</v>
      </c>
      <c r="AE26" s="17">
        <v>64.163645711721301</v>
      </c>
      <c r="AF26" s="17">
        <v>61.297553668382442</v>
      </c>
      <c r="AG26" s="17">
        <v>59.022341477077234</v>
      </c>
      <c r="AH26" s="17">
        <v>56.427866720799926</v>
      </c>
      <c r="AI26" s="17">
        <v>54.362106667437303</v>
      </c>
    </row>
    <row r="27" spans="1:35" x14ac:dyDescent="0.15">
      <c r="A27" s="16">
        <v>2014</v>
      </c>
      <c r="B27" s="17">
        <v>685.3350778507106</v>
      </c>
      <c r="C27" s="17">
        <v>632.45765090793157</v>
      </c>
      <c r="D27" s="17">
        <v>455.63083495569822</v>
      </c>
      <c r="E27" s="17">
        <v>359.62307529841218</v>
      </c>
      <c r="F27" s="17">
        <v>305.45468487059691</v>
      </c>
      <c r="G27" s="17">
        <v>263.9691473248119</v>
      </c>
      <c r="H27" s="17">
        <v>228.90326931784318</v>
      </c>
      <c r="I27" s="17">
        <v>206.78182318419292</v>
      </c>
      <c r="J27" s="17">
        <v>194.21055611807344</v>
      </c>
      <c r="K27" s="17">
        <v>184.08177995058259</v>
      </c>
      <c r="L27" s="17">
        <v>176.52701124368789</v>
      </c>
      <c r="M27" s="17">
        <v>163.27338691730992</v>
      </c>
      <c r="N27" s="17">
        <v>154.19881335739399</v>
      </c>
      <c r="O27" s="17">
        <v>145.32367235167521</v>
      </c>
      <c r="P27" s="17">
        <v>136.9327199032044</v>
      </c>
      <c r="Q27" s="17">
        <v>128.80465462286364</v>
      </c>
      <c r="R27" s="17">
        <v>122.387298162086</v>
      </c>
      <c r="S27" s="17">
        <v>117.25957852986983</v>
      </c>
      <c r="T27" s="17">
        <v>110.96809409193045</v>
      </c>
      <c r="U27" s="17">
        <v>106.14668359105704</v>
      </c>
      <c r="V27" s="17">
        <v>104.36836887456656</v>
      </c>
      <c r="W27" s="17">
        <v>100</v>
      </c>
      <c r="X27" s="17">
        <v>96.875354275506382</v>
      </c>
      <c r="Y27" s="17">
        <v>91.324997358058383</v>
      </c>
      <c r="Z27" s="17">
        <v>85.696779981297297</v>
      </c>
      <c r="AA27" s="17">
        <v>81.457333108460233</v>
      </c>
      <c r="AB27" s="17">
        <v>78.084840852007659</v>
      </c>
      <c r="AC27" s="17">
        <v>74.636778338172235</v>
      </c>
      <c r="AD27" s="17">
        <v>71.43097562111511</v>
      </c>
      <c r="AE27" s="17">
        <v>66.966550439779297</v>
      </c>
      <c r="AF27" s="17">
        <v>63.975256923702787</v>
      </c>
      <c r="AG27" s="17">
        <v>61.600655071202262</v>
      </c>
      <c r="AH27" s="17">
        <v>58.892844087213248</v>
      </c>
      <c r="AI27" s="17">
        <v>56.736844014656306</v>
      </c>
    </row>
    <row r="28" spans="1:35" x14ac:dyDescent="0.15">
      <c r="A28" s="16">
        <v>2015</v>
      </c>
      <c r="B28" s="17">
        <v>707.44007387231647</v>
      </c>
      <c r="C28" s="17">
        <v>652.8571230916674</v>
      </c>
      <c r="D28" s="17">
        <v>470.32688382219237</v>
      </c>
      <c r="E28" s="17">
        <v>371.22246208841784</v>
      </c>
      <c r="F28" s="17">
        <v>315.30690871272191</v>
      </c>
      <c r="G28" s="17">
        <v>272.48328462789726</v>
      </c>
      <c r="H28" s="17">
        <v>236.28638163929611</v>
      </c>
      <c r="I28" s="17">
        <v>213.4514239773726</v>
      </c>
      <c r="J28" s="17">
        <v>200.47467962362532</v>
      </c>
      <c r="K28" s="17">
        <v>190.01920697710949</v>
      </c>
      <c r="L28" s="17">
        <v>182.2207645730596</v>
      </c>
      <c r="M28" s="17">
        <v>168.53965401042294</v>
      </c>
      <c r="N28" s="17">
        <v>159.17238652760318</v>
      </c>
      <c r="O28" s="17">
        <v>150.01098415432409</v>
      </c>
      <c r="P28" s="17">
        <v>141.34938749620244</v>
      </c>
      <c r="Q28" s="17">
        <v>132.95915724504363</v>
      </c>
      <c r="R28" s="17">
        <v>126.33481351100457</v>
      </c>
      <c r="S28" s="17">
        <v>121.0417029251756</v>
      </c>
      <c r="T28" s="17">
        <v>114.54729112664232</v>
      </c>
      <c r="U28" s="17">
        <v>109.57036945556212</v>
      </c>
      <c r="V28" s="17">
        <v>107.73469646134205</v>
      </c>
      <c r="W28" s="17">
        <v>103.22542895234979</v>
      </c>
      <c r="X28" s="17">
        <v>100</v>
      </c>
      <c r="Y28" s="17">
        <v>94.270620263577882</v>
      </c>
      <c r="Z28" s="17">
        <v>88.460868734045562</v>
      </c>
      <c r="AA28" s="17">
        <v>84.084681514352539</v>
      </c>
      <c r="AB28" s="17">
        <v>80.603411916244568</v>
      </c>
      <c r="AC28" s="17">
        <v>77.044134595792784</v>
      </c>
      <c r="AD28" s="17">
        <v>73.73493098974447</v>
      </c>
      <c r="AE28" s="17">
        <v>69.12650894605386</v>
      </c>
      <c r="AF28" s="17">
        <v>66.038733382860059</v>
      </c>
      <c r="AG28" s="17">
        <v>63.58754043470595</v>
      </c>
      <c r="AH28" s="17">
        <v>60.792390931264443</v>
      </c>
      <c r="AI28" s="17">
        <v>58.566850608154574</v>
      </c>
    </row>
    <row r="29" spans="1:35" x14ac:dyDescent="0.15">
      <c r="A29" s="16">
        <v>2016</v>
      </c>
      <c r="B29" s="17">
        <v>750.43536564661906</v>
      </c>
      <c r="C29" s="17">
        <v>692.53508809669245</v>
      </c>
      <c r="D29" s="17">
        <v>498.91141323476216</v>
      </c>
      <c r="E29" s="17">
        <v>393.7838332350957</v>
      </c>
      <c r="F29" s="17">
        <v>334.46996299709616</v>
      </c>
      <c r="G29" s="17">
        <v>289.04369555015342</v>
      </c>
      <c r="H29" s="17">
        <v>250.64689399374521</v>
      </c>
      <c r="I29" s="17">
        <v>226.42412172590861</v>
      </c>
      <c r="J29" s="17">
        <v>212.6587043376866</v>
      </c>
      <c r="K29" s="17">
        <v>201.56779115892246</v>
      </c>
      <c r="L29" s="17">
        <v>193.29539156905483</v>
      </c>
      <c r="M29" s="17">
        <v>178.782799497013</v>
      </c>
      <c r="N29" s="17">
        <v>168.84622810644706</v>
      </c>
      <c r="O29" s="17">
        <v>159.12803345824798</v>
      </c>
      <c r="P29" s="17">
        <v>149.94002065648206</v>
      </c>
      <c r="Q29" s="17">
        <v>141.03986679338033</v>
      </c>
      <c r="R29" s="17">
        <v>134.01292275130487</v>
      </c>
      <c r="S29" s="17">
        <v>128.39811872113131</v>
      </c>
      <c r="T29" s="17">
        <v>121.50900334205024</v>
      </c>
      <c r="U29" s="17">
        <v>116.22960488560126</v>
      </c>
      <c r="V29" s="17">
        <v>114.28236725304133</v>
      </c>
      <c r="W29" s="17">
        <v>109.49904505108223</v>
      </c>
      <c r="X29" s="17">
        <v>106.07758782153225</v>
      </c>
      <c r="Y29" s="17">
        <v>100</v>
      </c>
      <c r="Z29" s="17">
        <v>93.837155719047558</v>
      </c>
      <c r="AA29" s="17">
        <v>89.195001877843012</v>
      </c>
      <c r="AB29" s="17">
        <v>85.502155062605738</v>
      </c>
      <c r="AC29" s="17">
        <v>81.726559537191605</v>
      </c>
      <c r="AD29" s="17">
        <v>78.216236175792403</v>
      </c>
      <c r="AE29" s="17">
        <v>73.327733235209649</v>
      </c>
      <c r="AF29" s="17">
        <v>70.052295400430921</v>
      </c>
      <c r="AG29" s="17">
        <v>67.45212904817754</v>
      </c>
      <c r="AH29" s="17">
        <v>64.487101878921251</v>
      </c>
      <c r="AI29" s="17">
        <v>62.126302388170764</v>
      </c>
    </row>
    <row r="30" spans="1:35" x14ac:dyDescent="0.15">
      <c r="A30" s="16">
        <v>2017</v>
      </c>
      <c r="B30" s="17">
        <v>799.7209206696914</v>
      </c>
      <c r="C30" s="17">
        <v>738.01798742725327</v>
      </c>
      <c r="D30" s="17">
        <v>531.67789391285919</v>
      </c>
      <c r="E30" s="17">
        <v>419.64596029967203</v>
      </c>
      <c r="F30" s="17">
        <v>356.4365953274559</v>
      </c>
      <c r="G30" s="17">
        <v>308.02691464302535</v>
      </c>
      <c r="H30" s="17">
        <v>267.10836669452419</v>
      </c>
      <c r="I30" s="17">
        <v>241.29474086345078</v>
      </c>
      <c r="J30" s="17">
        <v>226.62526662082109</v>
      </c>
      <c r="K30" s="17">
        <v>214.80594719049782</v>
      </c>
      <c r="L30" s="17">
        <v>205.99024990462144</v>
      </c>
      <c r="M30" s="17">
        <v>190.52452957152317</v>
      </c>
      <c r="N30" s="17">
        <v>179.93536442214838</v>
      </c>
      <c r="O30" s="17">
        <v>169.57891811499923</v>
      </c>
      <c r="P30" s="17">
        <v>159.78747385034652</v>
      </c>
      <c r="Q30" s="17">
        <v>150.30279393341769</v>
      </c>
      <c r="R30" s="17">
        <v>142.81434867073901</v>
      </c>
      <c r="S30" s="17">
        <v>136.83078705578072</v>
      </c>
      <c r="T30" s="17">
        <v>129.48922248437856</v>
      </c>
      <c r="U30" s="17">
        <v>123.86309452259792</v>
      </c>
      <c r="V30" s="17">
        <v>121.78797021001746</v>
      </c>
      <c r="W30" s="17">
        <v>116.69049878166282</v>
      </c>
      <c r="X30" s="17">
        <v>113.04433410059131</v>
      </c>
      <c r="Y30" s="17">
        <v>106.56759492945871</v>
      </c>
      <c r="Z30" s="17">
        <v>100</v>
      </c>
      <c r="AA30" s="17">
        <v>95.052968298502833</v>
      </c>
      <c r="AB30" s="17">
        <v>91.117590263075357</v>
      </c>
      <c r="AC30" s="17">
        <v>87.094028917377258</v>
      </c>
      <c r="AD30" s="17">
        <v>83.353161736887188</v>
      </c>
      <c r="AE30" s="17">
        <v>78.143601725052278</v>
      </c>
      <c r="AF30" s="17">
        <v>74.653046401119056</v>
      </c>
      <c r="AG30" s="17">
        <v>71.882111655357591</v>
      </c>
      <c r="AH30" s="17">
        <v>68.722353512076168</v>
      </c>
      <c r="AI30" s="17">
        <v>66.206506273676453</v>
      </c>
    </row>
    <row r="31" spans="1:35" x14ac:dyDescent="0.15">
      <c r="A31" s="16">
        <v>2018</v>
      </c>
      <c r="B31" s="17">
        <v>841.34239570326793</v>
      </c>
      <c r="C31" s="17">
        <v>776.42813332203718</v>
      </c>
      <c r="D31" s="17">
        <v>559.34906971362159</v>
      </c>
      <c r="E31" s="17">
        <v>441.48643415513601</v>
      </c>
      <c r="F31" s="17">
        <v>374.98733780528352</v>
      </c>
      <c r="G31" s="17">
        <v>324.05817530674324</v>
      </c>
      <c r="H31" s="17">
        <v>281.01002154472582</v>
      </c>
      <c r="I31" s="17">
        <v>253.85292556639851</v>
      </c>
      <c r="J31" s="17">
        <v>238.41997854199639</v>
      </c>
      <c r="K31" s="17">
        <v>225.98552263609974</v>
      </c>
      <c r="L31" s="17">
        <v>216.71101238809604</v>
      </c>
      <c r="M31" s="17">
        <v>200.44037864572832</v>
      </c>
      <c r="N31" s="17">
        <v>189.30010039989727</v>
      </c>
      <c r="O31" s="17">
        <v>178.40465284835324</v>
      </c>
      <c r="P31" s="17">
        <v>168.10361287040766</v>
      </c>
      <c r="Q31" s="17">
        <v>158.12530279055483</v>
      </c>
      <c r="R31" s="17">
        <v>150.24712139682697</v>
      </c>
      <c r="S31" s="17">
        <v>143.95214531973321</v>
      </c>
      <c r="T31" s="17">
        <v>136.22848902280742</v>
      </c>
      <c r="U31" s="17">
        <v>130.30954923324458</v>
      </c>
      <c r="V31" s="17">
        <v>128.12642507654937</v>
      </c>
      <c r="W31" s="17">
        <v>122.76365574950783</v>
      </c>
      <c r="X31" s="17">
        <v>118.92772642889878</v>
      </c>
      <c r="Y31" s="17">
        <v>112.1139053698939</v>
      </c>
      <c r="Z31" s="17">
        <v>105.20449996465295</v>
      </c>
      <c r="AA31" s="17">
        <v>100</v>
      </c>
      <c r="AB31" s="17">
        <v>95.859805216109734</v>
      </c>
      <c r="AC31" s="17">
        <v>91.626837621597005</v>
      </c>
      <c r="AD31" s="17">
        <v>87.691277010020613</v>
      </c>
      <c r="AE31" s="17">
        <v>82.21058544921118</v>
      </c>
      <c r="AF31" s="17">
        <v>78.538364174677668</v>
      </c>
      <c r="AG31" s="17">
        <v>75.623216131052473</v>
      </c>
      <c r="AH31" s="17">
        <v>72.299008376320856</v>
      </c>
      <c r="AI31" s="17">
        <v>69.652223869287909</v>
      </c>
    </row>
    <row r="32" spans="1:35" x14ac:dyDescent="0.15">
      <c r="A32" s="16">
        <v>2019</v>
      </c>
      <c r="B32" s="17">
        <v>877.68005975655365</v>
      </c>
      <c r="C32" s="17">
        <v>809.96214374901979</v>
      </c>
      <c r="D32" s="17">
        <v>583.50741319847793</v>
      </c>
      <c r="E32" s="17">
        <v>460.55427836498666</v>
      </c>
      <c r="F32" s="17">
        <v>391.18307924776059</v>
      </c>
      <c r="G32" s="17">
        <v>338.05428101608908</v>
      </c>
      <c r="H32" s="17">
        <v>293.14687309368804</v>
      </c>
      <c r="I32" s="17">
        <v>264.81685936467687</v>
      </c>
      <c r="J32" s="17">
        <v>248.71736178108642</v>
      </c>
      <c r="K32" s="17">
        <v>235.74586045384711</v>
      </c>
      <c r="L32" s="17">
        <v>226.07078316040287</v>
      </c>
      <c r="M32" s="17">
        <v>209.09741908388861</v>
      </c>
      <c r="N32" s="17">
        <v>197.47599108211455</v>
      </c>
      <c r="O32" s="17">
        <v>186.10996803733482</v>
      </c>
      <c r="P32" s="17">
        <v>175.36402509000402</v>
      </c>
      <c r="Q32" s="17">
        <v>164.9547507780467</v>
      </c>
      <c r="R32" s="17">
        <v>156.73630992479542</v>
      </c>
      <c r="S32" s="17">
        <v>150.16945318760284</v>
      </c>
      <c r="T32" s="17">
        <v>142.11221138587658</v>
      </c>
      <c r="U32" s="17">
        <v>135.93763198190328</v>
      </c>
      <c r="V32" s="17">
        <v>133.66021846977117</v>
      </c>
      <c r="W32" s="17">
        <v>128.06583058743453</v>
      </c>
      <c r="X32" s="17">
        <v>124.06422708744702</v>
      </c>
      <c r="Y32" s="17">
        <v>116.9561164005501</v>
      </c>
      <c r="Z32" s="17">
        <v>109.7482930697347</v>
      </c>
      <c r="AA32" s="17">
        <v>104.31901021972291</v>
      </c>
      <c r="AB32" s="17">
        <v>100</v>
      </c>
      <c r="AC32" s="17">
        <v>95.584210102482686</v>
      </c>
      <c r="AD32" s="17">
        <v>91.478672225888928</v>
      </c>
      <c r="AE32" s="17">
        <v>85.761269036456639</v>
      </c>
      <c r="AF32" s="17">
        <v>81.930444149785203</v>
      </c>
      <c r="AG32" s="17">
        <v>78.889390564235782</v>
      </c>
      <c r="AH32" s="17">
        <v>75.421609936852462</v>
      </c>
      <c r="AI32" s="17">
        <v>72.660510536466745</v>
      </c>
    </row>
    <row r="33" spans="1:35" x14ac:dyDescent="0.15">
      <c r="A33" s="16">
        <v>2020</v>
      </c>
      <c r="B33" s="17">
        <v>918.22703646923446</v>
      </c>
      <c r="C33" s="17">
        <v>847.38069486644406</v>
      </c>
      <c r="D33" s="17">
        <v>610.46423104073119</v>
      </c>
      <c r="E33" s="17">
        <v>481.83091942821238</v>
      </c>
      <c r="F33" s="17">
        <v>409.25491650592198</v>
      </c>
      <c r="G33" s="17">
        <v>353.67167930104438</v>
      </c>
      <c r="H33" s="17">
        <v>306.68964338292301</v>
      </c>
      <c r="I33" s="17">
        <v>277.05084247779808</v>
      </c>
      <c r="J33" s="17">
        <v>260.20758189497894</v>
      </c>
      <c r="K33" s="17">
        <v>246.63682443061154</v>
      </c>
      <c r="L33" s="17">
        <v>236.51477887196654</v>
      </c>
      <c r="M33" s="17">
        <v>218.75728099829485</v>
      </c>
      <c r="N33" s="17">
        <v>206.59896741353657</v>
      </c>
      <c r="O33" s="17">
        <v>194.70785795874963</v>
      </c>
      <c r="P33" s="17">
        <v>183.4654750005086</v>
      </c>
      <c r="Q33" s="17">
        <v>172.5753140620055</v>
      </c>
      <c r="R33" s="17">
        <v>163.97719848994637</v>
      </c>
      <c r="S33" s="17">
        <v>157.10696675381362</v>
      </c>
      <c r="T33" s="17">
        <v>148.67749729114033</v>
      </c>
      <c r="U33" s="17">
        <v>142.21766527772189</v>
      </c>
      <c r="V33" s="17">
        <v>139.83504004109511</v>
      </c>
      <c r="W33" s="17">
        <v>133.98220317992474</v>
      </c>
      <c r="X33" s="17">
        <v>129.79573399668089</v>
      </c>
      <c r="Y33" s="17">
        <v>122.35924351433469</v>
      </c>
      <c r="Z33" s="17">
        <v>114.81843387319483</v>
      </c>
      <c r="AA33" s="17">
        <v>109.13832955032532</v>
      </c>
      <c r="AB33" s="17">
        <v>104.6197901230578</v>
      </c>
      <c r="AC33" s="17">
        <v>100</v>
      </c>
      <c r="AD33" s="17">
        <v>95.704794890084969</v>
      </c>
      <c r="AE33" s="17">
        <v>89.723259672811892</v>
      </c>
      <c r="AF33" s="17">
        <v>85.715458716394338</v>
      </c>
      <c r="AG33" s="17">
        <v>82.53391483766282</v>
      </c>
      <c r="AH33" s="17">
        <v>78.905930023366352</v>
      </c>
      <c r="AI33" s="17">
        <v>76.017273625593802</v>
      </c>
    </row>
    <row r="34" spans="1:35" x14ac:dyDescent="0.15">
      <c r="A34" s="16">
        <v>2021</v>
      </c>
      <c r="B34" s="17">
        <v>959.43681559926017</v>
      </c>
      <c r="C34" s="17">
        <v>885.41090949481043</v>
      </c>
      <c r="D34" s="17">
        <v>637.86169934519694</v>
      </c>
      <c r="E34" s="17">
        <v>503.45535976706861</v>
      </c>
      <c r="F34" s="17">
        <v>427.62216561452647</v>
      </c>
      <c r="G34" s="17">
        <v>369.54436787334345</v>
      </c>
      <c r="H34" s="17">
        <v>320.45379098837202</v>
      </c>
      <c r="I34" s="17">
        <v>289.48480877680731</v>
      </c>
      <c r="J34" s="17">
        <v>271.88562724973406</v>
      </c>
      <c r="K34" s="17">
        <v>257.70581788913398</v>
      </c>
      <c r="L34" s="17">
        <v>247.12949768462389</v>
      </c>
      <c r="M34" s="17">
        <v>228.57504814626398</v>
      </c>
      <c r="N34" s="17">
        <v>215.87107276162217</v>
      </c>
      <c r="O34" s="17">
        <v>203.44629355547724</v>
      </c>
      <c r="P34" s="17">
        <v>191.69935551423001</v>
      </c>
      <c r="Q34" s="17">
        <v>180.32044712096692</v>
      </c>
      <c r="R34" s="17">
        <v>171.33645046548702</v>
      </c>
      <c r="S34" s="17">
        <v>164.15788460154772</v>
      </c>
      <c r="T34" s="17">
        <v>155.35010284687766</v>
      </c>
      <c r="U34" s="17">
        <v>148.60035533335193</v>
      </c>
      <c r="V34" s="17">
        <v>146.11079852550006</v>
      </c>
      <c r="W34" s="17">
        <v>139.99528794121613</v>
      </c>
      <c r="X34" s="17">
        <v>135.62093116206842</v>
      </c>
      <c r="Y34" s="17">
        <v>127.85069301372185</v>
      </c>
      <c r="Z34" s="17">
        <v>119.97145389116764</v>
      </c>
      <c r="AA34" s="17">
        <v>114.0364280344245</v>
      </c>
      <c r="AB34" s="17">
        <v>109.31509778920849</v>
      </c>
      <c r="AC34" s="17">
        <v>104.48797274457147</v>
      </c>
      <c r="AD34" s="17">
        <v>100</v>
      </c>
      <c r="AE34" s="17">
        <v>93.750015112468773</v>
      </c>
      <c r="AF34" s="17">
        <v>89.56234514147053</v>
      </c>
      <c r="AG34" s="17">
        <v>86.238014440604957</v>
      </c>
      <c r="AH34" s="17">
        <v>82.447206656665657</v>
      </c>
      <c r="AI34" s="17">
        <v>79.428908147076754</v>
      </c>
    </row>
    <row r="35" spans="1:35" x14ac:dyDescent="0.15">
      <c r="A35" s="16">
        <v>2022</v>
      </c>
      <c r="B35" s="17">
        <v>1023.3991050009492</v>
      </c>
      <c r="C35" s="17">
        <v>944.43815121801572</v>
      </c>
      <c r="D35" s="17">
        <v>680.38570295692807</v>
      </c>
      <c r="E35" s="17">
        <v>537.01896385092846</v>
      </c>
      <c r="F35" s="17">
        <v>456.13023646078608</v>
      </c>
      <c r="G35" s="17">
        <v>394.180595523119</v>
      </c>
      <c r="H35" s="17">
        <v>341.81732195342505</v>
      </c>
      <c r="I35" s="17">
        <v>308.7837462527574</v>
      </c>
      <c r="J35" s="17">
        <v>290.01128898332655</v>
      </c>
      <c r="K35" s="17">
        <v>274.88616143685192</v>
      </c>
      <c r="L35" s="17">
        <v>263.60475503726673</v>
      </c>
      <c r="M35" s="17">
        <v>243.81334538671817</v>
      </c>
      <c r="N35" s="17">
        <v>230.26244049416826</v>
      </c>
      <c r="O35" s="17">
        <v>217.00934481067495</v>
      </c>
      <c r="P35" s="17">
        <v>204.47927958652028</v>
      </c>
      <c r="Q35" s="17">
        <v>192.34177925693396</v>
      </c>
      <c r="R35" s="17">
        <v>182.75885103585355</v>
      </c>
      <c r="S35" s="17">
        <v>175.10171534864605</v>
      </c>
      <c r="T35" s="17">
        <v>165.70674965812998</v>
      </c>
      <c r="U35" s="17">
        <v>158.50702013762987</v>
      </c>
      <c r="V35" s="17">
        <v>155.85149330399125</v>
      </c>
      <c r="W35" s="17">
        <v>149.32828306562774</v>
      </c>
      <c r="X35" s="17">
        <v>144.66230325335786</v>
      </c>
      <c r="Y35" s="17">
        <v>136.37405056451846</v>
      </c>
      <c r="Z35" s="17">
        <v>127.96953018859982</v>
      </c>
      <c r="AA35" s="17">
        <v>121.6388369619128</v>
      </c>
      <c r="AB35" s="17">
        <v>116.60275217883091</v>
      </c>
      <c r="AC35" s="17">
        <v>111.45381962789097</v>
      </c>
      <c r="AD35" s="17">
        <v>106.6666494720383</v>
      </c>
      <c r="AE35" s="17">
        <v>100</v>
      </c>
      <c r="AF35" s="17">
        <v>95.533152750989501</v>
      </c>
      <c r="AG35" s="17">
        <v>91.987200575005872</v>
      </c>
      <c r="AH35" s="17">
        <v>87.943672923952604</v>
      </c>
      <c r="AI35" s="17">
        <v>84.724155032709632</v>
      </c>
    </row>
    <row r="36" spans="1:35" x14ac:dyDescent="0.15">
      <c r="A36" s="16">
        <v>2023</v>
      </c>
      <c r="B36" s="17">
        <v>1071.2502157952169</v>
      </c>
      <c r="C36" s="17">
        <v>988.59728169939785</v>
      </c>
      <c r="D36" s="17">
        <v>712.19852309321061</v>
      </c>
      <c r="E36" s="17">
        <v>562.12837992553966</v>
      </c>
      <c r="F36" s="17">
        <v>477.45753523879341</v>
      </c>
      <c r="G36" s="17">
        <v>412.61131258858842</v>
      </c>
      <c r="H36" s="17">
        <v>357.79968744921865</v>
      </c>
      <c r="I36" s="17">
        <v>323.22155959576986</v>
      </c>
      <c r="J36" s="17">
        <v>303.57135782930879</v>
      </c>
      <c r="K36" s="17">
        <v>287.73902412008982</v>
      </c>
      <c r="L36" s="17">
        <v>275.93013257330858</v>
      </c>
      <c r="M36" s="17">
        <v>255.21333523057294</v>
      </c>
      <c r="N36" s="17">
        <v>241.0288301636557</v>
      </c>
      <c r="O36" s="17">
        <v>227.15605898228586</v>
      </c>
      <c r="P36" s="17">
        <v>214.04012502288356</v>
      </c>
      <c r="Q36" s="17">
        <v>201.33511112972425</v>
      </c>
      <c r="R36" s="17">
        <v>191.30411357010365</v>
      </c>
      <c r="S36" s="17">
        <v>183.28895289895308</v>
      </c>
      <c r="T36" s="17">
        <v>173.45470644107229</v>
      </c>
      <c r="U36" s="17">
        <v>165.91833889412607</v>
      </c>
      <c r="V36" s="17">
        <v>163.13864749154004</v>
      </c>
      <c r="W36" s="17">
        <v>156.31043126448168</v>
      </c>
      <c r="X36" s="17">
        <v>151.42628405703852</v>
      </c>
      <c r="Y36" s="17">
        <v>142.75049722265754</v>
      </c>
      <c r="Z36" s="17">
        <v>133.95300636853983</v>
      </c>
      <c r="AA36" s="17">
        <v>127.32630867837962</v>
      </c>
      <c r="AB36" s="17">
        <v>122.05475148795735</v>
      </c>
      <c r="AC36" s="17">
        <v>116.66507010231226</v>
      </c>
      <c r="AD36" s="17">
        <v>111.65406604979179</v>
      </c>
      <c r="AE36" s="17">
        <v>104.67570379536566</v>
      </c>
      <c r="AF36" s="17">
        <v>100</v>
      </c>
      <c r="AG36" s="17">
        <v>96.288249603542056</v>
      </c>
      <c r="AH36" s="17">
        <v>92.055658576641818</v>
      </c>
      <c r="AI36" s="17">
        <v>88.685605565165531</v>
      </c>
    </row>
    <row r="37" spans="1:35" x14ac:dyDescent="0.15">
      <c r="A37" s="16">
        <v>2024</v>
      </c>
      <c r="B37" s="17">
        <v>1112.5451134546433</v>
      </c>
      <c r="C37" s="17">
        <v>1026.706047487472</v>
      </c>
      <c r="D37" s="17">
        <v>739.6525806893593</v>
      </c>
      <c r="E37" s="17">
        <v>583.79748540455478</v>
      </c>
      <c r="F37" s="17">
        <v>495.8627217803633</v>
      </c>
      <c r="G37" s="17">
        <v>428.51678609537231</v>
      </c>
      <c r="H37" s="17">
        <v>371.59226481156912</v>
      </c>
      <c r="I37" s="17">
        <v>335.6812081708876</v>
      </c>
      <c r="J37" s="17">
        <v>315.27352411040368</v>
      </c>
      <c r="K37" s="17">
        <v>298.83088051224172</v>
      </c>
      <c r="L37" s="17">
        <v>286.56677601828403</v>
      </c>
      <c r="M37" s="17">
        <v>265.0513809124065</v>
      </c>
      <c r="N37" s="17">
        <v>250.32008698472515</v>
      </c>
      <c r="O37" s="17">
        <v>235.91254376061448</v>
      </c>
      <c r="P37" s="17">
        <v>222.2910125629804</v>
      </c>
      <c r="Q37" s="17">
        <v>209.09624171038828</v>
      </c>
      <c r="R37" s="17">
        <v>198.67856603249166</v>
      </c>
      <c r="S37" s="17">
        <v>190.35443437140916</v>
      </c>
      <c r="T37" s="17">
        <v>180.14109421996554</v>
      </c>
      <c r="U37" s="17">
        <v>172.31421235434175</v>
      </c>
      <c r="V37" s="17">
        <v>169.42736851406929</v>
      </c>
      <c r="W37" s="17">
        <v>162.3359360130394</v>
      </c>
      <c r="X37" s="17">
        <v>157.26351312909125</v>
      </c>
      <c r="Y37" s="17">
        <v>148.25328927508755</v>
      </c>
      <c r="Z37" s="17">
        <v>139.11666991567392</v>
      </c>
      <c r="AA37" s="17">
        <v>132.23452415287838</v>
      </c>
      <c r="AB37" s="17">
        <v>126.75975728139879</v>
      </c>
      <c r="AC37" s="17">
        <v>121.16231272524934</v>
      </c>
      <c r="AD37" s="17">
        <v>115.95814287778319</v>
      </c>
      <c r="AE37" s="17">
        <v>108.71077647205986</v>
      </c>
      <c r="AF37" s="17">
        <v>103.8548321438397</v>
      </c>
      <c r="AG37" s="17">
        <v>100</v>
      </c>
      <c r="AH37" s="17">
        <v>95.604249693677545</v>
      </c>
      <c r="AI37" s="17">
        <v>92.104286795450435</v>
      </c>
    </row>
    <row r="38" spans="1:35" x14ac:dyDescent="0.15">
      <c r="A38" s="16">
        <v>2025</v>
      </c>
      <c r="B38" s="17">
        <v>1163.698388951655</v>
      </c>
      <c r="C38" s="17">
        <v>1073.9125622313936</v>
      </c>
      <c r="D38" s="17">
        <v>773.66077664879538</v>
      </c>
      <c r="E38" s="17">
        <v>610.63968105505899</v>
      </c>
      <c r="F38" s="17">
        <v>518.66179941701421</v>
      </c>
      <c r="G38" s="17">
        <v>448.21939136426357</v>
      </c>
      <c r="H38" s="17">
        <v>388.67755983878936</v>
      </c>
      <c r="I38" s="17">
        <v>351.11536280702251</v>
      </c>
      <c r="J38" s="17">
        <v>329.7693618438106</v>
      </c>
      <c r="K38" s="17">
        <v>312.57070838348295</v>
      </c>
      <c r="L38" s="17">
        <v>299.7427174382554</v>
      </c>
      <c r="M38" s="17">
        <v>277.23807441787255</v>
      </c>
      <c r="N38" s="17">
        <v>261.82945610343427</v>
      </c>
      <c r="O38" s="17">
        <v>246.75947409921019</v>
      </c>
      <c r="P38" s="17">
        <v>232.51164386020054</v>
      </c>
      <c r="Q38" s="17">
        <v>218.71019581278733</v>
      </c>
      <c r="R38" s="17">
        <v>207.81352991009413</v>
      </c>
      <c r="S38" s="17">
        <v>199.10666626359978</v>
      </c>
      <c r="T38" s="17">
        <v>188.42373095040205</v>
      </c>
      <c r="U38" s="17">
        <v>180.23697995271976</v>
      </c>
      <c r="V38" s="17">
        <v>177.21740305156516</v>
      </c>
      <c r="W38" s="17">
        <v>169.79991635641164</v>
      </c>
      <c r="X38" s="17">
        <v>164.49427052978726</v>
      </c>
      <c r="Y38" s="17">
        <v>155.06976912647826</v>
      </c>
      <c r="Z38" s="17">
        <v>145.51306072838094</v>
      </c>
      <c r="AA38" s="17">
        <v>138.31448348432909</v>
      </c>
      <c r="AB38" s="17">
        <v>132.58799445374615</v>
      </c>
      <c r="AC38" s="17">
        <v>126.73318718933682</v>
      </c>
      <c r="AD38" s="17">
        <v>121.28973685722224</v>
      </c>
      <c r="AE38" s="17">
        <v>113.70914663351945</v>
      </c>
      <c r="AF38" s="17">
        <v>108.62993274524678</v>
      </c>
      <c r="AG38" s="17">
        <v>104.59786078590308</v>
      </c>
      <c r="AH38" s="17">
        <v>100</v>
      </c>
      <c r="AI38" s="17">
        <v>96.339113680154142</v>
      </c>
    </row>
    <row r="39" spans="1:35" x14ac:dyDescent="0.15">
      <c r="A39" s="16">
        <v>2026</v>
      </c>
      <c r="B39" s="17">
        <v>1207.9189277318178</v>
      </c>
      <c r="C39" s="17">
        <v>1114.7212395961865</v>
      </c>
      <c r="D39" s="17">
        <v>803.05988616144964</v>
      </c>
      <c r="E39" s="17">
        <v>633.84398893515129</v>
      </c>
      <c r="F39" s="17">
        <v>538.37094779486074</v>
      </c>
      <c r="G39" s="17">
        <v>465.25172823610558</v>
      </c>
      <c r="H39" s="17">
        <v>403.44730711266334</v>
      </c>
      <c r="I39" s="17">
        <v>364.45774659368936</v>
      </c>
      <c r="J39" s="17">
        <v>342.30059759387535</v>
      </c>
      <c r="K39" s="17">
        <v>324.44839530205525</v>
      </c>
      <c r="L39" s="17">
        <v>311.1329407009091</v>
      </c>
      <c r="M39" s="17">
        <v>287.77312124575172</v>
      </c>
      <c r="N39" s="17">
        <v>271.77897543536477</v>
      </c>
      <c r="O39" s="17">
        <v>256.13633411498017</v>
      </c>
      <c r="P39" s="17">
        <v>241.34708632688816</v>
      </c>
      <c r="Q39" s="17">
        <v>227.02118325367323</v>
      </c>
      <c r="R39" s="17">
        <v>215.71044404667768</v>
      </c>
      <c r="S39" s="17">
        <v>206.67271958161658</v>
      </c>
      <c r="T39" s="17">
        <v>195.5838327265173</v>
      </c>
      <c r="U39" s="17">
        <v>187.08598519092311</v>
      </c>
      <c r="V39" s="17">
        <v>183.95166436752464</v>
      </c>
      <c r="W39" s="17">
        <v>176.25231317795527</v>
      </c>
      <c r="X39" s="17">
        <v>170.74505280991917</v>
      </c>
      <c r="Y39" s="17">
        <v>160.96242035328441</v>
      </c>
      <c r="Z39" s="17">
        <v>151.04255703605941</v>
      </c>
      <c r="AA39" s="17">
        <v>143.57043385673359</v>
      </c>
      <c r="AB39" s="17">
        <v>137.62633824298848</v>
      </c>
      <c r="AC39" s="17">
        <v>131.54904830253159</v>
      </c>
      <c r="AD39" s="17">
        <v>125.89874685779667</v>
      </c>
      <c r="AE39" s="17">
        <v>118.03009420559319</v>
      </c>
      <c r="AF39" s="17">
        <v>112.75787018956613</v>
      </c>
      <c r="AG39" s="17">
        <v>108.57257949576737</v>
      </c>
      <c r="AH39" s="17">
        <v>103.8</v>
      </c>
      <c r="AI39" s="17">
        <v>100</v>
      </c>
    </row>
    <row r="40" spans="1:35" x14ac:dyDescent="0.15">
      <c r="A40" s="37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</row>
    <row r="41" spans="1:35" x14ac:dyDescent="0.15">
      <c r="A41" s="19" t="s">
        <v>184</v>
      </c>
    </row>
    <row r="42" spans="1:35" x14ac:dyDescent="0.15">
      <c r="B42" s="35" t="s">
        <v>44</v>
      </c>
    </row>
    <row r="43" spans="1:35" x14ac:dyDescent="0.15">
      <c r="B43" s="14" t="s">
        <v>174</v>
      </c>
    </row>
    <row r="44" spans="1:35" ht="12.75" customHeight="1" x14ac:dyDescent="0.15"/>
    <row r="45" spans="1:35" ht="12.75" customHeight="1" x14ac:dyDescent="0.15">
      <c r="A45" s="14" t="s">
        <v>186</v>
      </c>
    </row>
    <row r="46" spans="1:35" ht="12.75" customHeight="1" x14ac:dyDescent="0.15">
      <c r="B46" s="35" t="s">
        <v>187</v>
      </c>
    </row>
    <row r="47" spans="1:35" x14ac:dyDescent="0.15">
      <c r="A47" s="27"/>
      <c r="B47" s="28">
        <v>2025</v>
      </c>
      <c r="C47" s="29">
        <v>4.2999999999999997E-2</v>
      </c>
    </row>
    <row r="48" spans="1:35" x14ac:dyDescent="0.15">
      <c r="A48" s="28"/>
      <c r="B48" s="28">
        <v>2026</v>
      </c>
      <c r="C48" s="29">
        <v>3.5000000000000003E-2</v>
      </c>
    </row>
    <row r="49" spans="1:35" x14ac:dyDescent="0.15">
      <c r="A49" s="28"/>
      <c r="B49" s="28"/>
      <c r="C49" s="30"/>
    </row>
    <row r="50" spans="1:35" x14ac:dyDescent="0.15">
      <c r="B50" s="16">
        <v>1993</v>
      </c>
      <c r="C50" s="16">
        <v>1994</v>
      </c>
      <c r="D50" s="16">
        <v>1995</v>
      </c>
      <c r="E50" s="16">
        <v>1996</v>
      </c>
      <c r="F50" s="16">
        <v>1997</v>
      </c>
      <c r="G50" s="16">
        <v>1998</v>
      </c>
      <c r="H50" s="16">
        <v>1999</v>
      </c>
      <c r="I50" s="16">
        <v>2000</v>
      </c>
      <c r="J50" s="16">
        <v>2001</v>
      </c>
      <c r="K50" s="16">
        <v>2002</v>
      </c>
      <c r="L50" s="18">
        <v>2003</v>
      </c>
      <c r="M50" s="16">
        <v>2004</v>
      </c>
      <c r="N50" s="16">
        <v>2005</v>
      </c>
      <c r="O50" s="16">
        <v>2006</v>
      </c>
      <c r="P50" s="16">
        <v>2007</v>
      </c>
      <c r="Q50" s="16">
        <v>2008</v>
      </c>
      <c r="R50" s="16">
        <v>2009</v>
      </c>
      <c r="S50" s="16">
        <v>2010</v>
      </c>
      <c r="T50" s="16">
        <v>2011</v>
      </c>
      <c r="U50" s="16">
        <v>2012</v>
      </c>
      <c r="V50" s="16">
        <v>2013</v>
      </c>
      <c r="W50" s="16">
        <v>2014</v>
      </c>
      <c r="X50" s="16">
        <v>2015</v>
      </c>
      <c r="Y50" s="16">
        <v>2016</v>
      </c>
      <c r="Z50" s="16">
        <v>2017</v>
      </c>
      <c r="AA50" s="16">
        <v>2018</v>
      </c>
      <c r="AB50" s="16">
        <v>2019</v>
      </c>
      <c r="AC50" s="16">
        <v>2020</v>
      </c>
      <c r="AD50" s="16">
        <v>2021</v>
      </c>
      <c r="AE50" s="16">
        <v>2022</v>
      </c>
      <c r="AF50" s="16">
        <v>2023</v>
      </c>
      <c r="AG50" s="16">
        <v>2024</v>
      </c>
      <c r="AH50" s="16">
        <v>2025</v>
      </c>
      <c r="AI50" s="16">
        <v>2026</v>
      </c>
    </row>
    <row r="51" spans="1:35" ht="14" x14ac:dyDescent="0.15">
      <c r="A51" s="15" t="s">
        <v>152</v>
      </c>
      <c r="B51" s="17">
        <v>100</v>
      </c>
      <c r="C51" s="17">
        <v>108.36062728735595</v>
      </c>
      <c r="D51" s="17">
        <v>150.414551709905</v>
      </c>
      <c r="E51" s="17">
        <v>190.57038464009167</v>
      </c>
      <c r="F51" s="17">
        <v>224.36554808155802</v>
      </c>
      <c r="G51" s="17">
        <v>259.62696201287923</v>
      </c>
      <c r="H51" s="17">
        <v>299.39942749314332</v>
      </c>
      <c r="I51" s="17">
        <v>331.4290720999407</v>
      </c>
      <c r="J51" s="17">
        <v>352.88250625988115</v>
      </c>
      <c r="K51" s="17">
        <v>372.29924549550276</v>
      </c>
      <c r="L51" s="17">
        <v>388.2324144176639</v>
      </c>
      <c r="M51" s="17">
        <v>419.74695986296871</v>
      </c>
      <c r="N51" s="17">
        <v>444.44899602584911</v>
      </c>
      <c r="O51" s="17">
        <v>471.59218230615431</v>
      </c>
      <c r="P51" s="17">
        <v>500.49037099033973</v>
      </c>
      <c r="Q51" s="17">
        <v>532.0732234850924</v>
      </c>
      <c r="R51" s="17">
        <v>559.97238940847751</v>
      </c>
      <c r="S51" s="17">
        <v>584.45978268302702</v>
      </c>
      <c r="T51" s="17">
        <v>617.59651137465823</v>
      </c>
      <c r="U51" s="17">
        <v>645.64907226969717</v>
      </c>
      <c r="V51" s="17">
        <v>656.65017594973585</v>
      </c>
      <c r="W51" s="17">
        <v>685.3350778507106</v>
      </c>
      <c r="X51" s="17">
        <v>707.44007387231647</v>
      </c>
      <c r="Y51" s="17">
        <v>750.43536564661906</v>
      </c>
      <c r="Z51" s="17">
        <v>799.7209206696914</v>
      </c>
      <c r="AA51" s="17">
        <v>841.34239570326793</v>
      </c>
      <c r="AB51" s="17">
        <v>877.68005975655365</v>
      </c>
      <c r="AC51" s="17">
        <v>918.22703646923446</v>
      </c>
      <c r="AD51" s="17">
        <v>959.43681559926017</v>
      </c>
      <c r="AE51" s="17">
        <v>1023.3991050009492</v>
      </c>
      <c r="AF51" s="17">
        <v>1071.2502157952169</v>
      </c>
      <c r="AG51" s="17">
        <v>1112.5451134546433</v>
      </c>
      <c r="AH51" s="17">
        <v>1163.698388951655</v>
      </c>
      <c r="AI51" s="17">
        <v>1207.9189277318178</v>
      </c>
    </row>
    <row r="52" spans="1:35" ht="14" x14ac:dyDescent="0.15">
      <c r="A52" s="15" t="s">
        <v>151</v>
      </c>
      <c r="B52" s="17">
        <v>92.284441778668523</v>
      </c>
      <c r="C52" s="17">
        <v>100</v>
      </c>
      <c r="D52" s="17">
        <v>138.80922939937255</v>
      </c>
      <c r="E52" s="17">
        <v>175.86681566057007</v>
      </c>
      <c r="F52" s="17">
        <v>207.05449359071596</v>
      </c>
      <c r="G52" s="17">
        <v>239.59529260050138</v>
      </c>
      <c r="H52" s="17">
        <v>276.29909035057676</v>
      </c>
      <c r="I52" s="17">
        <v>305.85746907965114</v>
      </c>
      <c r="J52" s="17">
        <v>325.65565103650636</v>
      </c>
      <c r="K52" s="17">
        <v>343.5742804517194</v>
      </c>
      <c r="L52" s="17">
        <v>358.27811644918819</v>
      </c>
      <c r="M52" s="17">
        <v>387.3611387924725</v>
      </c>
      <c r="N52" s="17">
        <v>410.15727497335155</v>
      </c>
      <c r="O52" s="17">
        <v>435.20621291307532</v>
      </c>
      <c r="P52" s="17">
        <v>461.87474502442217</v>
      </c>
      <c r="Q52" s="17">
        <v>491.02080414698497</v>
      </c>
      <c r="R52" s="17">
        <v>516.76739368028541</v>
      </c>
      <c r="S52" s="17">
        <v>539.36544786985064</v>
      </c>
      <c r="T52" s="17">
        <v>569.94549296663445</v>
      </c>
      <c r="U52" s="17">
        <v>595.8336421932421</v>
      </c>
      <c r="V52" s="17">
        <v>605.98594931385833</v>
      </c>
      <c r="W52" s="17">
        <v>632.45765090793157</v>
      </c>
      <c r="X52" s="17">
        <v>652.8571230916674</v>
      </c>
      <c r="Y52" s="17">
        <v>692.53508809669245</v>
      </c>
      <c r="Z52" s="17">
        <v>738.01798742725327</v>
      </c>
      <c r="AA52" s="17">
        <v>776.42813332203718</v>
      </c>
      <c r="AB52" s="17">
        <v>809.96214374901979</v>
      </c>
      <c r="AC52" s="17">
        <v>847.38069486644406</v>
      </c>
      <c r="AD52" s="17">
        <v>885.41090949481043</v>
      </c>
      <c r="AE52" s="17">
        <v>944.43815121801572</v>
      </c>
      <c r="AF52" s="17">
        <v>988.59728169939785</v>
      </c>
      <c r="AG52" s="17">
        <v>1026.706047487472</v>
      </c>
      <c r="AH52" s="17">
        <v>1073.9125622313936</v>
      </c>
      <c r="AI52" s="17">
        <v>1114.7212395961865</v>
      </c>
    </row>
    <row r="53" spans="1:35" ht="14" x14ac:dyDescent="0.15">
      <c r="A53" s="15" t="s">
        <v>150</v>
      </c>
      <c r="B53" s="17">
        <v>66.482929253323604</v>
      </c>
      <c r="C53" s="17">
        <v>72.041319177910538</v>
      </c>
      <c r="D53" s="17">
        <v>100</v>
      </c>
      <c r="E53" s="17">
        <v>126.69677399805883</v>
      </c>
      <c r="F53" s="17">
        <v>149.164788599894</v>
      </c>
      <c r="G53" s="17">
        <v>172.60760947757586</v>
      </c>
      <c r="H53" s="17">
        <v>199.04950956512241</v>
      </c>
      <c r="I53" s="17">
        <v>220.34375552915049</v>
      </c>
      <c r="J53" s="17">
        <v>234.60662698411204</v>
      </c>
      <c r="K53" s="17">
        <v>247.51544399343265</v>
      </c>
      <c r="L53" s="17">
        <v>258.10828141576565</v>
      </c>
      <c r="M53" s="17">
        <v>279.06007436867412</v>
      </c>
      <c r="N53" s="17">
        <v>295.48271159497233</v>
      </c>
      <c r="O53" s="17">
        <v>313.52829692680547</v>
      </c>
      <c r="P53" s="17">
        <v>332.74065926520444</v>
      </c>
      <c r="Q53" s="17">
        <v>353.73786474547239</v>
      </c>
      <c r="R53" s="17">
        <v>372.2860474885839</v>
      </c>
      <c r="S53" s="17">
        <v>388.56598383528575</v>
      </c>
      <c r="T53" s="17">
        <v>410.5962517282087</v>
      </c>
      <c r="U53" s="17">
        <v>429.24641594180298</v>
      </c>
      <c r="V53" s="17">
        <v>436.5602719184879</v>
      </c>
      <c r="W53" s="17">
        <v>455.63083495569822</v>
      </c>
      <c r="X53" s="17">
        <v>470.32688382219237</v>
      </c>
      <c r="Y53" s="17">
        <v>498.91141323476216</v>
      </c>
      <c r="Z53" s="17">
        <v>531.67789391285919</v>
      </c>
      <c r="AA53" s="17">
        <v>559.34906971362159</v>
      </c>
      <c r="AB53" s="17">
        <v>583.50741319847793</v>
      </c>
      <c r="AC53" s="17">
        <v>610.46423104073119</v>
      </c>
      <c r="AD53" s="17">
        <v>637.86169934519694</v>
      </c>
      <c r="AE53" s="17">
        <v>680.38570295692807</v>
      </c>
      <c r="AF53" s="17">
        <v>712.19852309321061</v>
      </c>
      <c r="AG53" s="17">
        <v>739.6525806893593</v>
      </c>
      <c r="AH53" s="17">
        <v>773.66077664879538</v>
      </c>
      <c r="AI53" s="17">
        <v>803.05988616144964</v>
      </c>
    </row>
    <row r="54" spans="1:35" ht="14" x14ac:dyDescent="0.15">
      <c r="A54" s="15" t="s">
        <v>149</v>
      </c>
      <c r="B54" s="17">
        <v>52.474050566072208</v>
      </c>
      <c r="C54" s="17">
        <v>56.8612103564802</v>
      </c>
      <c r="D54" s="17">
        <v>78.928607922986373</v>
      </c>
      <c r="E54" s="17">
        <v>100</v>
      </c>
      <c r="F54" s="17">
        <v>117.73369115316179</v>
      </c>
      <c r="G54" s="17">
        <v>136.23678332979532</v>
      </c>
      <c r="H54" s="17">
        <v>157.10700697728274</v>
      </c>
      <c r="I54" s="17">
        <v>173.91425888438678</v>
      </c>
      <c r="J54" s="17">
        <v>185.17174477363295</v>
      </c>
      <c r="K54" s="17">
        <v>195.36049433841541</v>
      </c>
      <c r="L54" s="17">
        <v>203.72127345540795</v>
      </c>
      <c r="M54" s="17">
        <v>220.25823196804501</v>
      </c>
      <c r="N54" s="17">
        <v>233.22039091500432</v>
      </c>
      <c r="O54" s="17">
        <v>247.46352020897481</v>
      </c>
      <c r="P54" s="17">
        <v>262.62757035179322</v>
      </c>
      <c r="Q54" s="17">
        <v>279.20037234009772</v>
      </c>
      <c r="R54" s="17">
        <v>293.84019477424721</v>
      </c>
      <c r="S54" s="17">
        <v>306.68972190344726</v>
      </c>
      <c r="T54" s="17">
        <v>324.07790567303601</v>
      </c>
      <c r="U54" s="17">
        <v>338.7982206621769</v>
      </c>
      <c r="V54" s="17">
        <v>344.57094537006645</v>
      </c>
      <c r="W54" s="17">
        <v>359.62307529841218</v>
      </c>
      <c r="X54" s="17">
        <v>371.22246208841784</v>
      </c>
      <c r="Y54" s="17">
        <v>393.7838332350957</v>
      </c>
      <c r="Z54" s="17">
        <v>419.64596029967203</v>
      </c>
      <c r="AA54" s="17">
        <v>441.48643415513601</v>
      </c>
      <c r="AB54" s="17">
        <v>460.55427836498666</v>
      </c>
      <c r="AC54" s="17">
        <v>481.83091942821238</v>
      </c>
      <c r="AD54" s="17">
        <v>503.45535976706861</v>
      </c>
      <c r="AE54" s="17">
        <v>537.01896385092846</v>
      </c>
      <c r="AF54" s="17">
        <v>562.12837992553966</v>
      </c>
      <c r="AG54" s="17">
        <v>583.79748540455478</v>
      </c>
      <c r="AH54" s="17">
        <v>610.63968105505899</v>
      </c>
      <c r="AI54" s="17">
        <v>633.84398893515129</v>
      </c>
    </row>
    <row r="55" spans="1:35" ht="14" x14ac:dyDescent="0.15">
      <c r="A55" s="15" t="s">
        <v>148</v>
      </c>
      <c r="B55" s="17">
        <v>44.570122665913701</v>
      </c>
      <c r="C55" s="17">
        <v>48.296464503528099</v>
      </c>
      <c r="D55" s="17">
        <v>67.039950204488846</v>
      </c>
      <c r="E55" s="17">
        <v>84.937454198992427</v>
      </c>
      <c r="F55" s="17">
        <v>100</v>
      </c>
      <c r="G55" s="17">
        <v>115.71605544292545</v>
      </c>
      <c r="H55" s="17">
        <v>133.44269209473737</v>
      </c>
      <c r="I55" s="17">
        <v>147.71834398544314</v>
      </c>
      <c r="J55" s="17">
        <v>157.28016590657964</v>
      </c>
      <c r="K55" s="17">
        <v>165.93423040161676</v>
      </c>
      <c r="L55" s="17">
        <v>173.03566333479122</v>
      </c>
      <c r="M55" s="17">
        <v>187.08173489736873</v>
      </c>
      <c r="N55" s="17">
        <v>198.09146271614287</v>
      </c>
      <c r="O55" s="17">
        <v>210.18921413671237</v>
      </c>
      <c r="P55" s="17">
        <v>223.069172281481</v>
      </c>
      <c r="Q55" s="17">
        <v>237.1456883797868</v>
      </c>
      <c r="R55" s="17">
        <v>249.58038085460635</v>
      </c>
      <c r="S55" s="17">
        <v>260.49444207475779</v>
      </c>
      <c r="T55" s="17">
        <v>275.26352270008886</v>
      </c>
      <c r="U55" s="17">
        <v>287.76658350193782</v>
      </c>
      <c r="V55" s="17">
        <v>292.66978890673539</v>
      </c>
      <c r="W55" s="17">
        <v>305.45468487059691</v>
      </c>
      <c r="X55" s="17">
        <v>315.30690871272191</v>
      </c>
      <c r="Y55" s="17">
        <v>334.46996299709616</v>
      </c>
      <c r="Z55" s="17">
        <v>356.4365953274559</v>
      </c>
      <c r="AA55" s="17">
        <v>374.98733780528352</v>
      </c>
      <c r="AB55" s="17">
        <v>391.18307924776059</v>
      </c>
      <c r="AC55" s="17">
        <v>409.25491650592198</v>
      </c>
      <c r="AD55" s="17">
        <v>427.62216561452647</v>
      </c>
      <c r="AE55" s="17">
        <v>456.13023646078608</v>
      </c>
      <c r="AF55" s="17">
        <v>477.45753523879341</v>
      </c>
      <c r="AG55" s="17">
        <v>495.8627217803633</v>
      </c>
      <c r="AH55" s="17">
        <v>518.66179941701421</v>
      </c>
      <c r="AI55" s="17">
        <v>538.37094779486074</v>
      </c>
    </row>
    <row r="56" spans="1:35" ht="14" x14ac:dyDescent="0.15">
      <c r="A56" s="15" t="s">
        <v>147</v>
      </c>
      <c r="B56" s="17">
        <v>38.516800884123633</v>
      </c>
      <c r="C56" s="17">
        <v>41.737047049058233</v>
      </c>
      <c r="D56" s="17">
        <v>57.934873382851293</v>
      </c>
      <c r="E56" s="17">
        <v>73.40161559593264</v>
      </c>
      <c r="F56" s="17">
        <v>86.418431407146386</v>
      </c>
      <c r="G56" s="17">
        <v>100</v>
      </c>
      <c r="H56" s="17">
        <v>115.31908133574014</v>
      </c>
      <c r="I56" s="17">
        <v>127.65587577283273</v>
      </c>
      <c r="J56" s="17">
        <v>135.91905229102355</v>
      </c>
      <c r="K56" s="17">
        <v>143.39775908059741</v>
      </c>
      <c r="L56" s="17">
        <v>149.53470602887731</v>
      </c>
      <c r="M56" s="17">
        <v>161.673100747582</v>
      </c>
      <c r="N56" s="17">
        <v>171.18753483076287</v>
      </c>
      <c r="O56" s="17">
        <v>181.64222184395479</v>
      </c>
      <c r="P56" s="17">
        <v>192.77287963856082</v>
      </c>
      <c r="Q56" s="17">
        <v>204.93758404749119</v>
      </c>
      <c r="R56" s="17">
        <v>215.6834502345327</v>
      </c>
      <c r="S56" s="17">
        <v>225.1152107438032</v>
      </c>
      <c r="T56" s="17">
        <v>237.87841855347108</v>
      </c>
      <c r="U56" s="17">
        <v>248.6833675763107</v>
      </c>
      <c r="V56" s="17">
        <v>252.92064077580724</v>
      </c>
      <c r="W56" s="17">
        <v>263.9691473248119</v>
      </c>
      <c r="X56" s="17">
        <v>272.48328462789726</v>
      </c>
      <c r="Y56" s="17">
        <v>289.04369555015342</v>
      </c>
      <c r="Z56" s="17">
        <v>308.02691464302535</v>
      </c>
      <c r="AA56" s="17">
        <v>324.05817530674324</v>
      </c>
      <c r="AB56" s="17">
        <v>338.05428101608908</v>
      </c>
      <c r="AC56" s="17">
        <v>353.67167930104438</v>
      </c>
      <c r="AD56" s="17">
        <v>369.54436787334345</v>
      </c>
      <c r="AE56" s="17">
        <v>394.180595523119</v>
      </c>
      <c r="AF56" s="17">
        <v>412.61131258858842</v>
      </c>
      <c r="AG56" s="17">
        <v>428.51678609537231</v>
      </c>
      <c r="AH56" s="17">
        <v>448.21939136426357</v>
      </c>
      <c r="AI56" s="17">
        <v>465.25172823610558</v>
      </c>
    </row>
    <row r="57" spans="1:35" ht="14" x14ac:dyDescent="0.15">
      <c r="A57" s="15" t="s">
        <v>146</v>
      </c>
      <c r="B57" s="17">
        <v>33.400197467742366</v>
      </c>
      <c r="C57" s="17">
        <v>36.1926634912612</v>
      </c>
      <c r="D57" s="17">
        <v>50.238757291327715</v>
      </c>
      <c r="E57" s="17">
        <v>63.650884784826779</v>
      </c>
      <c r="F57" s="17">
        <v>74.938536108822817</v>
      </c>
      <c r="G57" s="17">
        <v>86.715917991802115</v>
      </c>
      <c r="H57" s="17">
        <v>100</v>
      </c>
      <c r="I57" s="17">
        <v>110.69796454688641</v>
      </c>
      <c r="J57" s="17">
        <v>117.86345391991861</v>
      </c>
      <c r="K57" s="17">
        <v>124.34868316641283</v>
      </c>
      <c r="L57" s="17">
        <v>129.6703930492836</v>
      </c>
      <c r="M57" s="17">
        <v>140.19631345907683</v>
      </c>
      <c r="N57" s="17">
        <v>148.44684231603202</v>
      </c>
      <c r="O57" s="17">
        <v>157.5127201326911</v>
      </c>
      <c r="P57" s="17">
        <v>167.1647722178098</v>
      </c>
      <c r="Q57" s="17">
        <v>177.71350731700301</v>
      </c>
      <c r="R57" s="17">
        <v>187.03188382726671</v>
      </c>
      <c r="S57" s="17">
        <v>195.21072153566891</v>
      </c>
      <c r="T57" s="17">
        <v>206.27845435302373</v>
      </c>
      <c r="U57" s="17">
        <v>215.64806508672541</v>
      </c>
      <c r="V57" s="17">
        <v>219.32245543948943</v>
      </c>
      <c r="W57" s="17">
        <v>228.90326931784318</v>
      </c>
      <c r="X57" s="17">
        <v>236.28638163929611</v>
      </c>
      <c r="Y57" s="17">
        <v>250.64689399374521</v>
      </c>
      <c r="Z57" s="17">
        <v>267.10836669452419</v>
      </c>
      <c r="AA57" s="17">
        <v>281.01002154472582</v>
      </c>
      <c r="AB57" s="17">
        <v>293.14687309368804</v>
      </c>
      <c r="AC57" s="17">
        <v>306.68964338292301</v>
      </c>
      <c r="AD57" s="17">
        <v>320.45379098837202</v>
      </c>
      <c r="AE57" s="17">
        <v>341.81732195342505</v>
      </c>
      <c r="AF57" s="17">
        <v>357.79968744921865</v>
      </c>
      <c r="AG57" s="17">
        <v>371.59226481156912</v>
      </c>
      <c r="AH57" s="17">
        <v>388.67755983878936</v>
      </c>
      <c r="AI57" s="17">
        <v>403.44730711266334</v>
      </c>
    </row>
    <row r="58" spans="1:35" ht="14" x14ac:dyDescent="0.15">
      <c r="A58" s="15" t="s">
        <v>31</v>
      </c>
      <c r="B58" s="17">
        <v>30.172368213324845</v>
      </c>
      <c r="C58" s="17">
        <v>32.694967463409597</v>
      </c>
      <c r="D58" s="17">
        <v>45.383632388334441</v>
      </c>
      <c r="E58" s="17">
        <v>57.499598159157919</v>
      </c>
      <c r="F58" s="17">
        <v>67.696399311012087</v>
      </c>
      <c r="G58" s="17">
        <v>78.335602959594951</v>
      </c>
      <c r="H58" s="17">
        <v>90.335897691817763</v>
      </c>
      <c r="I58" s="17">
        <v>100</v>
      </c>
      <c r="J58" s="17">
        <v>106.47300914914044</v>
      </c>
      <c r="K58" s="17">
        <v>112.33149920633329</v>
      </c>
      <c r="L58" s="17">
        <v>117.13891360157882</v>
      </c>
      <c r="M58" s="17">
        <v>126.64759829409178</v>
      </c>
      <c r="N58" s="17">
        <v>134.10078760134471</v>
      </c>
      <c r="O58" s="17">
        <v>142.29052971066707</v>
      </c>
      <c r="P58" s="17">
        <v>151.00979760744087</v>
      </c>
      <c r="Q58" s="17">
        <v>160.53909215442889</v>
      </c>
      <c r="R58" s="17">
        <v>168.95693122527908</v>
      </c>
      <c r="S58" s="17">
        <v>176.34535768992112</v>
      </c>
      <c r="T58" s="17">
        <v>186.34349348461055</v>
      </c>
      <c r="U58" s="17">
        <v>194.80761545112887</v>
      </c>
      <c r="V58" s="17">
        <v>198.12690896099977</v>
      </c>
      <c r="W58" s="17">
        <v>206.78182318419292</v>
      </c>
      <c r="X58" s="17">
        <v>213.4514239773726</v>
      </c>
      <c r="Y58" s="17">
        <v>226.42412172590861</v>
      </c>
      <c r="Z58" s="17">
        <v>241.29474086345078</v>
      </c>
      <c r="AA58" s="17">
        <v>253.85292556639851</v>
      </c>
      <c r="AB58" s="17">
        <v>264.81685936467687</v>
      </c>
      <c r="AC58" s="17">
        <v>277.05084247779808</v>
      </c>
      <c r="AD58" s="17">
        <v>289.48480877680731</v>
      </c>
      <c r="AE58" s="17">
        <v>308.7837462527574</v>
      </c>
      <c r="AF58" s="17">
        <v>323.22155959576986</v>
      </c>
      <c r="AG58" s="17">
        <v>335.6812081708876</v>
      </c>
      <c r="AH58" s="17">
        <v>351.11536280702251</v>
      </c>
      <c r="AI58" s="17">
        <v>364.45774659368936</v>
      </c>
    </row>
    <row r="59" spans="1:35" ht="14" x14ac:dyDescent="0.15">
      <c r="A59" s="15" t="s">
        <v>30</v>
      </c>
      <c r="B59" s="17">
        <v>28.338044030540509</v>
      </c>
      <c r="C59" s="17">
        <v>30.707282272460823</v>
      </c>
      <c r="D59" s="17">
        <v>42.624541891893003</v>
      </c>
      <c r="E59" s="17">
        <v>54.003919508479591</v>
      </c>
      <c r="F59" s="17">
        <v>63.580807804715455</v>
      </c>
      <c r="G59" s="17">
        <v>73.573202810364407</v>
      </c>
      <c r="H59" s="17">
        <v>84.843941590193168</v>
      </c>
      <c r="I59" s="17">
        <v>93.920516381693048</v>
      </c>
      <c r="J59" s="17">
        <v>100</v>
      </c>
      <c r="K59" s="17">
        <v>105.50232411388566</v>
      </c>
      <c r="L59" s="17">
        <v>110.01747253850812</v>
      </c>
      <c r="M59" s="17">
        <v>118.94807830282328</v>
      </c>
      <c r="N59" s="17">
        <v>125.94815218710038</v>
      </c>
      <c r="O59" s="17">
        <v>133.6400002665049</v>
      </c>
      <c r="P59" s="17">
        <v>141.82918169985803</v>
      </c>
      <c r="Q59" s="17">
        <v>150.77914434592168</v>
      </c>
      <c r="R59" s="17">
        <v>158.6852222694441</v>
      </c>
      <c r="S59" s="17">
        <v>165.62447055751755</v>
      </c>
      <c r="T59" s="17">
        <v>175.01477132443279</v>
      </c>
      <c r="U59" s="17">
        <v>182.96431838256308</v>
      </c>
      <c r="V59" s="17">
        <v>186.08181598725787</v>
      </c>
      <c r="W59" s="17">
        <v>194.21055611807344</v>
      </c>
      <c r="X59" s="17">
        <v>200.47467962362532</v>
      </c>
      <c r="Y59" s="17">
        <v>212.6587043376866</v>
      </c>
      <c r="Z59" s="17">
        <v>226.62526662082109</v>
      </c>
      <c r="AA59" s="17">
        <v>238.41997854199639</v>
      </c>
      <c r="AB59" s="17">
        <v>248.71736178108642</v>
      </c>
      <c r="AC59" s="17">
        <v>260.20758189497894</v>
      </c>
      <c r="AD59" s="17">
        <v>271.88562724973406</v>
      </c>
      <c r="AE59" s="17">
        <v>290.01128898332655</v>
      </c>
      <c r="AF59" s="17">
        <v>303.57135782930879</v>
      </c>
      <c r="AG59" s="17">
        <v>315.27352411040368</v>
      </c>
      <c r="AH59" s="17">
        <v>329.7693618438106</v>
      </c>
      <c r="AI59" s="17">
        <v>342.30059759387535</v>
      </c>
    </row>
    <row r="60" spans="1:35" ht="14" x14ac:dyDescent="0.15">
      <c r="A60" s="15" t="s">
        <v>64</v>
      </c>
      <c r="B60" s="17">
        <v>26.860113526931112</v>
      </c>
      <c r="C60" s="17">
        <v>29.1057875078785</v>
      </c>
      <c r="D60" s="17">
        <v>40.401519350304987</v>
      </c>
      <c r="E60" s="17">
        <v>51.18742166303791</v>
      </c>
      <c r="F60" s="17">
        <v>60.264840930027695</v>
      </c>
      <c r="G60" s="17">
        <v>69.736096743181676</v>
      </c>
      <c r="H60" s="17">
        <v>80.419026123640108</v>
      </c>
      <c r="I60" s="17">
        <v>89.022225027298447</v>
      </c>
      <c r="J60" s="17">
        <v>94.784641798083868</v>
      </c>
      <c r="K60" s="17">
        <v>100</v>
      </c>
      <c r="L60" s="17">
        <v>104.27966726093018</v>
      </c>
      <c r="M60" s="17">
        <v>112.74450994503538</v>
      </c>
      <c r="N60" s="17">
        <v>119.37950490184863</v>
      </c>
      <c r="O60" s="17">
        <v>126.670195551565</v>
      </c>
      <c r="P60" s="17">
        <v>134.43228183936395</v>
      </c>
      <c r="Q60" s="17">
        <v>142.91547187449771</v>
      </c>
      <c r="R60" s="17">
        <v>150.4092195145858</v>
      </c>
      <c r="S60" s="17">
        <v>156.98656114791592</v>
      </c>
      <c r="T60" s="17">
        <v>165.8871240935992</v>
      </c>
      <c r="U60" s="17">
        <v>173.42207379721813</v>
      </c>
      <c r="V60" s="17">
        <v>176.37698273489193</v>
      </c>
      <c r="W60" s="17">
        <v>184.08177995058259</v>
      </c>
      <c r="X60" s="17">
        <v>190.01920697710949</v>
      </c>
      <c r="Y60" s="17">
        <v>201.56779115892246</v>
      </c>
      <c r="Z60" s="17">
        <v>214.80594719049782</v>
      </c>
      <c r="AA60" s="17">
        <v>225.98552263609974</v>
      </c>
      <c r="AB60" s="17">
        <v>235.74586045384711</v>
      </c>
      <c r="AC60" s="17">
        <v>246.63682443061154</v>
      </c>
      <c r="AD60" s="17">
        <v>257.70581788913398</v>
      </c>
      <c r="AE60" s="17">
        <v>274.88616143685192</v>
      </c>
      <c r="AF60" s="17">
        <v>287.73902412008982</v>
      </c>
      <c r="AG60" s="17">
        <v>298.83088051224172</v>
      </c>
      <c r="AH60" s="17">
        <v>312.57070838348295</v>
      </c>
      <c r="AI60" s="17">
        <v>324.44839530205525</v>
      </c>
    </row>
    <row r="61" spans="1:35" ht="14" x14ac:dyDescent="0.15">
      <c r="A61" s="15" t="s">
        <v>32</v>
      </c>
      <c r="B61" s="17">
        <v>25.757766813468365</v>
      </c>
      <c r="C61" s="17">
        <v>27.911277694288717</v>
      </c>
      <c r="D61" s="17">
        <v>38.743429482961119</v>
      </c>
      <c r="E61" s="17">
        <v>49.08667529112455</v>
      </c>
      <c r="F61" s="17">
        <v>57.791554684607959</v>
      </c>
      <c r="G61" s="17">
        <v>66.874107460169526</v>
      </c>
      <c r="H61" s="17">
        <v>77.118606374543148</v>
      </c>
      <c r="I61" s="17">
        <v>85.368727543544665</v>
      </c>
      <c r="J61" s="17">
        <v>90.894653087943098</v>
      </c>
      <c r="K61" s="17">
        <v>95.895971503033721</v>
      </c>
      <c r="L61" s="17">
        <v>100</v>
      </c>
      <c r="M61" s="17">
        <v>108.11744312812614</v>
      </c>
      <c r="N61" s="17">
        <v>114.48013600113951</v>
      </c>
      <c r="O61" s="17">
        <v>121.47161462896585</v>
      </c>
      <c r="P61" s="17">
        <v>128.91514268355442</v>
      </c>
      <c r="Q61" s="17">
        <v>137.05018018219448</v>
      </c>
      <c r="R61" s="17">
        <v>144.23638228364263</v>
      </c>
      <c r="S61" s="17">
        <v>150.54378794199806</v>
      </c>
      <c r="T61" s="17">
        <v>159.07906924800008</v>
      </c>
      <c r="U61" s="17">
        <v>166.3047824685504</v>
      </c>
      <c r="V61" s="17">
        <v>169.13842110136267</v>
      </c>
      <c r="W61" s="17">
        <v>176.52701124368789</v>
      </c>
      <c r="X61" s="17">
        <v>182.2207645730596</v>
      </c>
      <c r="Y61" s="17">
        <v>193.29539156905483</v>
      </c>
      <c r="Z61" s="17">
        <v>205.99024990462144</v>
      </c>
      <c r="AA61" s="17">
        <v>216.71101238809604</v>
      </c>
      <c r="AB61" s="17">
        <v>226.07078316040287</v>
      </c>
      <c r="AC61" s="17">
        <v>236.51477887196654</v>
      </c>
      <c r="AD61" s="17">
        <v>247.12949768462389</v>
      </c>
      <c r="AE61" s="17">
        <v>263.60475503726673</v>
      </c>
      <c r="AF61" s="17">
        <v>275.93013257330858</v>
      </c>
      <c r="AG61" s="17">
        <v>286.56677601828403</v>
      </c>
      <c r="AH61" s="17">
        <v>299.7427174382554</v>
      </c>
      <c r="AI61" s="17">
        <v>311.1329407009091</v>
      </c>
    </row>
    <row r="62" spans="1:35" ht="14" x14ac:dyDescent="0.15">
      <c r="A62" s="15" t="s">
        <v>29</v>
      </c>
      <c r="B62" s="17">
        <v>23.823877136035996</v>
      </c>
      <c r="C62" s="17">
        <v>25.815702708777579</v>
      </c>
      <c r="D62" s="17">
        <v>35.834577994087098</v>
      </c>
      <c r="E62" s="17">
        <v>45.401254294326655</v>
      </c>
      <c r="F62" s="17">
        <v>53.452572510544151</v>
      </c>
      <c r="G62" s="17">
        <v>61.853208441971198</v>
      </c>
      <c r="H62" s="17">
        <v>71.328551751961655</v>
      </c>
      <c r="I62" s="17">
        <v>78.959254930194035</v>
      </c>
      <c r="J62" s="17">
        <v>84.070294725918629</v>
      </c>
      <c r="K62" s="17">
        <v>88.696114825237601</v>
      </c>
      <c r="L62" s="17">
        <v>92.492013413130351</v>
      </c>
      <c r="M62" s="17">
        <v>100</v>
      </c>
      <c r="N62" s="17">
        <v>105.88498274554381</v>
      </c>
      <c r="O62" s="17">
        <v>112.35154209576909</v>
      </c>
      <c r="P62" s="17">
        <v>119.23621106242928</v>
      </c>
      <c r="Q62" s="17">
        <v>126.76047103683463</v>
      </c>
      <c r="R62" s="17">
        <v>133.40713404840074</v>
      </c>
      <c r="S62" s="17">
        <v>139.24098053594733</v>
      </c>
      <c r="T62" s="17">
        <v>147.13543406634315</v>
      </c>
      <c r="U62" s="17">
        <v>153.81864170748889</v>
      </c>
      <c r="V62" s="17">
        <v>156.43953113182926</v>
      </c>
      <c r="W62" s="17">
        <v>163.27338691730992</v>
      </c>
      <c r="X62" s="17">
        <v>168.53965401042294</v>
      </c>
      <c r="Y62" s="17">
        <v>178.782799497013</v>
      </c>
      <c r="Z62" s="17">
        <v>190.52452957152317</v>
      </c>
      <c r="AA62" s="17">
        <v>200.44037864572832</v>
      </c>
      <c r="AB62" s="17">
        <v>209.09741908388861</v>
      </c>
      <c r="AC62" s="17">
        <v>218.75728099829485</v>
      </c>
      <c r="AD62" s="17">
        <v>228.57504814626398</v>
      </c>
      <c r="AE62" s="17">
        <v>243.81334538671817</v>
      </c>
      <c r="AF62" s="17">
        <v>255.21333523057294</v>
      </c>
      <c r="AG62" s="17">
        <v>265.0513809124065</v>
      </c>
      <c r="AH62" s="17">
        <v>277.23807441787255</v>
      </c>
      <c r="AI62" s="17">
        <v>287.77312124575172</v>
      </c>
    </row>
    <row r="63" spans="1:35" ht="14" x14ac:dyDescent="0.15">
      <c r="A63" s="15" t="s">
        <v>33</v>
      </c>
      <c r="B63" s="17">
        <v>22.499769578551145</v>
      </c>
      <c r="C63" s="17">
        <v>24.380891453527706</v>
      </c>
      <c r="D63" s="17">
        <v>33.842927547339286</v>
      </c>
      <c r="E63" s="17">
        <v>42.877897428979253</v>
      </c>
      <c r="F63" s="17">
        <v>50.481731332003932</v>
      </c>
      <c r="G63" s="17">
        <v>58.415468216690336</v>
      </c>
      <c r="H63" s="17">
        <v>67.364181305458558</v>
      </c>
      <c r="I63" s="17">
        <v>74.570777538816799</v>
      </c>
      <c r="J63" s="17">
        <v>79.397750791489585</v>
      </c>
      <c r="K63" s="17">
        <v>83.766472379172569</v>
      </c>
      <c r="L63" s="17">
        <v>87.351398673220146</v>
      </c>
      <c r="M63" s="17">
        <v>94.442098782141528</v>
      </c>
      <c r="N63" s="17">
        <v>100</v>
      </c>
      <c r="O63" s="17">
        <v>106.10715436934557</v>
      </c>
      <c r="P63" s="17">
        <v>112.60918023566222</v>
      </c>
      <c r="Q63" s="17">
        <v>119.71524927331527</v>
      </c>
      <c r="R63" s="17">
        <v>125.99249732041457</v>
      </c>
      <c r="S63" s="17">
        <v>131.50210438298186</v>
      </c>
      <c r="T63" s="17">
        <v>138.95779198446851</v>
      </c>
      <c r="U63" s="17">
        <v>145.26955354673501</v>
      </c>
      <c r="V63" s="17">
        <v>147.74477652584122</v>
      </c>
      <c r="W63" s="17">
        <v>154.19881335739399</v>
      </c>
      <c r="X63" s="17">
        <v>159.17238652760318</v>
      </c>
      <c r="Y63" s="17">
        <v>168.84622810644706</v>
      </c>
      <c r="Z63" s="17">
        <v>179.93536442214838</v>
      </c>
      <c r="AA63" s="17">
        <v>189.30010039989727</v>
      </c>
      <c r="AB63" s="17">
        <v>197.47599108211455</v>
      </c>
      <c r="AC63" s="17">
        <v>206.59896741353657</v>
      </c>
      <c r="AD63" s="17">
        <v>215.87107276162217</v>
      </c>
      <c r="AE63" s="17">
        <v>230.26244049416826</v>
      </c>
      <c r="AF63" s="17">
        <v>241.0288301636557</v>
      </c>
      <c r="AG63" s="17">
        <v>250.32008698472515</v>
      </c>
      <c r="AH63" s="17">
        <v>261.82945610343427</v>
      </c>
      <c r="AI63" s="17">
        <v>271.77897543536477</v>
      </c>
    </row>
    <row r="64" spans="1:35" ht="14" x14ac:dyDescent="0.15">
      <c r="A64" s="15" t="s">
        <v>27</v>
      </c>
      <c r="B64" s="17">
        <v>21.204762027857516</v>
      </c>
      <c r="C64" s="17">
        <v>22.977613148177465</v>
      </c>
      <c r="D64" s="17">
        <v>31.895047745354045</v>
      </c>
      <c r="E64" s="17">
        <v>40.409996558504169</v>
      </c>
      <c r="F64" s="17">
        <v>47.576180543192613</v>
      </c>
      <c r="G64" s="17">
        <v>55.05327945498707</v>
      </c>
      <c r="H64" s="17">
        <v>63.486936112688852</v>
      </c>
      <c r="I64" s="17">
        <v>70.278746029928726</v>
      </c>
      <c r="J64" s="17">
        <v>74.827895690347205</v>
      </c>
      <c r="K64" s="17">
        <v>78.9451690388304</v>
      </c>
      <c r="L64" s="17">
        <v>82.323759592271216</v>
      </c>
      <c r="M64" s="17">
        <v>89.006343958109127</v>
      </c>
      <c r="N64" s="17">
        <v>94.24435194248322</v>
      </c>
      <c r="O64" s="17">
        <v>100</v>
      </c>
      <c r="P64" s="17">
        <v>106.12779214084276</v>
      </c>
      <c r="Q64" s="17">
        <v>112.82486085396432</v>
      </c>
      <c r="R64" s="17">
        <v>118.74081259577525</v>
      </c>
      <c r="S64" s="17">
        <v>123.93330606646906</v>
      </c>
      <c r="T64" s="17">
        <v>130.95987052934623</v>
      </c>
      <c r="U64" s="17">
        <v>136.90834930985903</v>
      </c>
      <c r="V64" s="17">
        <v>139.24110716564911</v>
      </c>
      <c r="W64" s="17">
        <v>145.32367235167521</v>
      </c>
      <c r="X64" s="17">
        <v>150.01098415432409</v>
      </c>
      <c r="Y64" s="17">
        <v>159.12803345824798</v>
      </c>
      <c r="Z64" s="17">
        <v>169.57891811499923</v>
      </c>
      <c r="AA64" s="17">
        <v>178.40465284835324</v>
      </c>
      <c r="AB64" s="17">
        <v>186.10996803733482</v>
      </c>
      <c r="AC64" s="17">
        <v>194.70785795874963</v>
      </c>
      <c r="AD64" s="17">
        <v>203.44629355547724</v>
      </c>
      <c r="AE64" s="17">
        <v>217.00934481067495</v>
      </c>
      <c r="AF64" s="17">
        <v>227.15605898228586</v>
      </c>
      <c r="AG64" s="17">
        <v>235.91254376061448</v>
      </c>
      <c r="AH64" s="17">
        <v>246.75947409921019</v>
      </c>
      <c r="AI64" s="17">
        <v>256.13633411498017</v>
      </c>
    </row>
    <row r="65" spans="1:35" ht="14" x14ac:dyDescent="0.15">
      <c r="A65" s="15" t="s">
        <v>34</v>
      </c>
      <c r="B65" s="17">
        <v>19.980404378634923</v>
      </c>
      <c r="C65" s="17">
        <v>21.650891519239135</v>
      </c>
      <c r="D65" s="17">
        <v>30.053435675949945</v>
      </c>
      <c r="E65" s="17">
        <v>38.076733477010286</v>
      </c>
      <c r="F65" s="17">
        <v>44.829143793035861</v>
      </c>
      <c r="G65" s="17">
        <v>51.874516886138146</v>
      </c>
      <c r="H65" s="17">
        <v>59.821216320447903</v>
      </c>
      <c r="I65" s="17">
        <v>66.220868833925635</v>
      </c>
      <c r="J65" s="17">
        <v>70.507351732185953</v>
      </c>
      <c r="K65" s="17">
        <v>74.386894748608199</v>
      </c>
      <c r="L65" s="17">
        <v>77.570406329586987</v>
      </c>
      <c r="M65" s="17">
        <v>83.867139947647573</v>
      </c>
      <c r="N65" s="17">
        <v>88.80270666274771</v>
      </c>
      <c r="O65" s="17">
        <v>94.226025042798838</v>
      </c>
      <c r="P65" s="17">
        <v>100</v>
      </c>
      <c r="Q65" s="17">
        <v>106.31038164275937</v>
      </c>
      <c r="R65" s="17">
        <v>111.88474781251803</v>
      </c>
      <c r="S65" s="17">
        <v>116.77742801055967</v>
      </c>
      <c r="T65" s="17">
        <v>123.39828040099871</v>
      </c>
      <c r="U65" s="17">
        <v>129.00329550639032</v>
      </c>
      <c r="V65" s="17">
        <v>131.20136050777492</v>
      </c>
      <c r="W65" s="17">
        <v>136.9327199032044</v>
      </c>
      <c r="X65" s="17">
        <v>141.34938749620244</v>
      </c>
      <c r="Y65" s="17">
        <v>149.94002065648206</v>
      </c>
      <c r="Z65" s="17">
        <v>159.78747385034652</v>
      </c>
      <c r="AA65" s="17">
        <v>168.10361287040766</v>
      </c>
      <c r="AB65" s="17">
        <v>175.36402509000402</v>
      </c>
      <c r="AC65" s="17">
        <v>183.4654750005086</v>
      </c>
      <c r="AD65" s="17">
        <v>191.69935551423001</v>
      </c>
      <c r="AE65" s="17">
        <v>204.47927958652028</v>
      </c>
      <c r="AF65" s="17">
        <v>214.04012502288356</v>
      </c>
      <c r="AG65" s="17">
        <v>222.2910125629804</v>
      </c>
      <c r="AH65" s="17">
        <v>232.51164386020054</v>
      </c>
      <c r="AI65" s="17">
        <v>241.34708632688816</v>
      </c>
    </row>
    <row r="66" spans="1:35" ht="14" x14ac:dyDescent="0.15">
      <c r="A66" s="15" t="s">
        <v>35</v>
      </c>
      <c r="B66" s="17">
        <v>18.79440565435667</v>
      </c>
      <c r="C66" s="17">
        <v>20.365735861991183</v>
      </c>
      <c r="D66" s="17">
        <v>28.26952101154162</v>
      </c>
      <c r="E66" s="17">
        <v>35.816571146326645</v>
      </c>
      <c r="F66" s="17">
        <v>42.168171255068678</v>
      </c>
      <c r="G66" s="17">
        <v>48.795344428783018</v>
      </c>
      <c r="H66" s="17">
        <v>56.27034292988283</v>
      </c>
      <c r="I66" s="17">
        <v>62.290124266933098</v>
      </c>
      <c r="J66" s="17">
        <v>66.322169709742639</v>
      </c>
      <c r="K66" s="17">
        <v>69.971430446533986</v>
      </c>
      <c r="L66" s="17">
        <v>72.965974847358837</v>
      </c>
      <c r="M66" s="17">
        <v>78.888946358476019</v>
      </c>
      <c r="N66" s="17">
        <v>83.531547239813648</v>
      </c>
      <c r="O66" s="17">
        <v>88.632947776851893</v>
      </c>
      <c r="P66" s="17">
        <v>94.064190584919089</v>
      </c>
      <c r="Q66" s="17">
        <v>100</v>
      </c>
      <c r="R66" s="17">
        <v>105.24348241782305</v>
      </c>
      <c r="S66" s="17">
        <v>109.84574244401952</v>
      </c>
      <c r="T66" s="17">
        <v>116.07359365490831</v>
      </c>
      <c r="U66" s="17">
        <v>121.34590574595734</v>
      </c>
      <c r="V66" s="17">
        <v>123.41349779804017</v>
      </c>
      <c r="W66" s="17">
        <v>128.80465462286364</v>
      </c>
      <c r="X66" s="17">
        <v>132.95915724504363</v>
      </c>
      <c r="Y66" s="17">
        <v>141.03986679338033</v>
      </c>
      <c r="Z66" s="17">
        <v>150.30279393341769</v>
      </c>
      <c r="AA66" s="17">
        <v>158.12530279055483</v>
      </c>
      <c r="AB66" s="17">
        <v>164.9547507780467</v>
      </c>
      <c r="AC66" s="17">
        <v>172.5753140620055</v>
      </c>
      <c r="AD66" s="17">
        <v>180.32044712096692</v>
      </c>
      <c r="AE66" s="17">
        <v>192.34177925693396</v>
      </c>
      <c r="AF66" s="17">
        <v>201.33511112972425</v>
      </c>
      <c r="AG66" s="17">
        <v>209.09624171038828</v>
      </c>
      <c r="AH66" s="17">
        <v>218.71019581278733</v>
      </c>
      <c r="AI66" s="17">
        <v>227.02118325367323</v>
      </c>
    </row>
    <row r="67" spans="1:35" ht="14" x14ac:dyDescent="0.15">
      <c r="A67" s="15" t="s">
        <v>36</v>
      </c>
      <c r="B67" s="17">
        <v>17.858023340335446</v>
      </c>
      <c r="C67" s="17">
        <v>19.351066112709926</v>
      </c>
      <c r="D67" s="17">
        <v>26.861065751615765</v>
      </c>
      <c r="E67" s="17">
        <v>34.032103768794606</v>
      </c>
      <c r="F67" s="17">
        <v>40.067251944076183</v>
      </c>
      <c r="G67" s="17">
        <v>46.364243474063812</v>
      </c>
      <c r="H67" s="17">
        <v>53.466819642556239</v>
      </c>
      <c r="I67" s="17">
        <v>59.186681052264611</v>
      </c>
      <c r="J67" s="17">
        <v>63.017840331850273</v>
      </c>
      <c r="K67" s="17">
        <v>66.485286156479646</v>
      </c>
      <c r="L67" s="17">
        <v>69.330635181454255</v>
      </c>
      <c r="M67" s="17">
        <v>74.958510062677419</v>
      </c>
      <c r="N67" s="17">
        <v>79.36980544618271</v>
      </c>
      <c r="O67" s="17">
        <v>84.217041987430335</v>
      </c>
      <c r="P67" s="17">
        <v>89.377687267586339</v>
      </c>
      <c r="Q67" s="17">
        <v>95.017760437642977</v>
      </c>
      <c r="R67" s="17">
        <v>100</v>
      </c>
      <c r="S67" s="17">
        <v>104.37296440640877</v>
      </c>
      <c r="T67" s="17">
        <v>110.2905291503839</v>
      </c>
      <c r="U67" s="17">
        <v>115.30016202258177</v>
      </c>
      <c r="V67" s="17">
        <v>117.26474168545759</v>
      </c>
      <c r="W67" s="17">
        <v>122.387298162086</v>
      </c>
      <c r="X67" s="17">
        <v>126.33481351100457</v>
      </c>
      <c r="Y67" s="17">
        <v>134.01292275130487</v>
      </c>
      <c r="Z67" s="17">
        <v>142.81434867073901</v>
      </c>
      <c r="AA67" s="17">
        <v>150.24712139682697</v>
      </c>
      <c r="AB67" s="17">
        <v>156.73630992479542</v>
      </c>
      <c r="AC67" s="17">
        <v>163.97719848994637</v>
      </c>
      <c r="AD67" s="17">
        <v>171.33645046548702</v>
      </c>
      <c r="AE67" s="17">
        <v>182.75885103585355</v>
      </c>
      <c r="AF67" s="17">
        <v>191.30411357010365</v>
      </c>
      <c r="AG67" s="17">
        <v>198.67856603249166</v>
      </c>
      <c r="AH67" s="17">
        <v>207.81352991009413</v>
      </c>
      <c r="AI67" s="17">
        <v>215.71044404667768</v>
      </c>
    </row>
    <row r="68" spans="1:35" ht="14" x14ac:dyDescent="0.15">
      <c r="A68" s="15" t="s">
        <v>119</v>
      </c>
      <c r="B68" s="17">
        <v>17.109817127354596</v>
      </c>
      <c r="C68" s="17">
        <v>18.540305166920906</v>
      </c>
      <c r="D68" s="17">
        <v>25.735654730494961</v>
      </c>
      <c r="E68" s="17">
        <v>32.606244310815939</v>
      </c>
      <c r="F68" s="17">
        <v>38.388534973541425</v>
      </c>
      <c r="G68" s="17">
        <v>44.421698413710018</v>
      </c>
      <c r="H68" s="17">
        <v>51.226694524423444</v>
      </c>
      <c r="I68" s="17">
        <v>56.706908143188073</v>
      </c>
      <c r="J68" s="17">
        <v>60.377551495491296</v>
      </c>
      <c r="K68" s="17">
        <v>63.699720070801455</v>
      </c>
      <c r="L68" s="17">
        <v>66.425856135975721</v>
      </c>
      <c r="M68" s="17">
        <v>71.817937230184441</v>
      </c>
      <c r="N68" s="17">
        <v>76.044410444386287</v>
      </c>
      <c r="O68" s="17">
        <v>80.688559979483699</v>
      </c>
      <c r="P68" s="17">
        <v>85.632987216465708</v>
      </c>
      <c r="Q68" s="17">
        <v>91.036755521920028</v>
      </c>
      <c r="R68" s="17">
        <v>95.810251791468446</v>
      </c>
      <c r="S68" s="17">
        <v>100</v>
      </c>
      <c r="T68" s="17">
        <v>105.66963368112575</v>
      </c>
      <c r="U68" s="17">
        <v>110.4693755498067</v>
      </c>
      <c r="V68" s="17">
        <v>112.35164427145199</v>
      </c>
      <c r="W68" s="17">
        <v>117.25957852986983</v>
      </c>
      <c r="X68" s="17">
        <v>121.0417029251756</v>
      </c>
      <c r="Y68" s="17">
        <v>128.39811872113131</v>
      </c>
      <c r="Z68" s="17">
        <v>136.83078705578072</v>
      </c>
      <c r="AA68" s="17">
        <v>143.95214531973321</v>
      </c>
      <c r="AB68" s="17">
        <v>150.16945318760284</v>
      </c>
      <c r="AC68" s="17">
        <v>157.10696675381362</v>
      </c>
      <c r="AD68" s="17">
        <v>164.15788460154772</v>
      </c>
      <c r="AE68" s="17">
        <v>175.10171534864605</v>
      </c>
      <c r="AF68" s="17">
        <v>183.28895289895308</v>
      </c>
      <c r="AG68" s="17">
        <v>190.35443437140916</v>
      </c>
      <c r="AH68" s="17">
        <v>199.10666626359978</v>
      </c>
      <c r="AI68" s="17">
        <v>206.67271958161658</v>
      </c>
    </row>
    <row r="69" spans="1:35" ht="14" x14ac:dyDescent="0.15">
      <c r="A69" s="15" t="s">
        <v>120</v>
      </c>
      <c r="B69" s="17">
        <v>16.191801306878833</v>
      </c>
      <c r="C69" s="17">
        <v>17.545537465256203</v>
      </c>
      <c r="D69" s="17">
        <v>24.354825349500338</v>
      </c>
      <c r="E69" s="17">
        <v>30.856778030678388</v>
      </c>
      <c r="F69" s="17">
        <v>36.328823746455576</v>
      </c>
      <c r="G69" s="17">
        <v>42.038281828211197</v>
      </c>
      <c r="H69" s="17">
        <v>48.478160413622533</v>
      </c>
      <c r="I69" s="17">
        <v>53.664336827654601</v>
      </c>
      <c r="J69" s="17">
        <v>57.138034260334223</v>
      </c>
      <c r="K69" s="17">
        <v>60.281954097640856</v>
      </c>
      <c r="L69" s="17">
        <v>62.861821151406559</v>
      </c>
      <c r="M69" s="17">
        <v>67.964593732676349</v>
      </c>
      <c r="N69" s="17">
        <v>71.9642983469233</v>
      </c>
      <c r="O69" s="17">
        <v>76.359269137786313</v>
      </c>
      <c r="P69" s="17">
        <v>81.038406430816551</v>
      </c>
      <c r="Q69" s="17">
        <v>86.152239153811522</v>
      </c>
      <c r="R69" s="17">
        <v>90.669616666402504</v>
      </c>
      <c r="S69" s="17">
        <v>94.634566730651557</v>
      </c>
      <c r="T69" s="17">
        <v>100</v>
      </c>
      <c r="U69" s="17">
        <v>104.54221492161588</v>
      </c>
      <c r="V69" s="17">
        <v>106.32349177105149</v>
      </c>
      <c r="W69" s="17">
        <v>110.96809409193045</v>
      </c>
      <c r="X69" s="17">
        <v>114.54729112664232</v>
      </c>
      <c r="Y69" s="17">
        <v>121.50900334205024</v>
      </c>
      <c r="Z69" s="17">
        <v>129.48922248437856</v>
      </c>
      <c r="AA69" s="17">
        <v>136.22848902280742</v>
      </c>
      <c r="AB69" s="17">
        <v>142.11221138587658</v>
      </c>
      <c r="AC69" s="17">
        <v>148.67749729114033</v>
      </c>
      <c r="AD69" s="17">
        <v>155.35010284687766</v>
      </c>
      <c r="AE69" s="17">
        <v>165.70674965812998</v>
      </c>
      <c r="AF69" s="17">
        <v>173.45470644107229</v>
      </c>
      <c r="AG69" s="17">
        <v>180.14109421996554</v>
      </c>
      <c r="AH69" s="17">
        <v>188.42373095040205</v>
      </c>
      <c r="AI69" s="17">
        <v>195.5838327265173</v>
      </c>
    </row>
    <row r="70" spans="1:35" ht="14" x14ac:dyDescent="0.15">
      <c r="A70" s="15" t="s">
        <v>121</v>
      </c>
      <c r="B70" s="17">
        <v>15.488289892288195</v>
      </c>
      <c r="C70" s="17">
        <v>16.783208083367633</v>
      </c>
      <c r="D70" s="17">
        <v>23.296641809015817</v>
      </c>
      <c r="E70" s="17">
        <v>29.516093621906052</v>
      </c>
      <c r="F70" s="17">
        <v>34.750386505292965</v>
      </c>
      <c r="G70" s="17">
        <v>40.211776515095686</v>
      </c>
      <c r="H70" s="17">
        <v>46.371851265989243</v>
      </c>
      <c r="I70" s="17">
        <v>51.332695474159671</v>
      </c>
      <c r="J70" s="17">
        <v>54.655465548702431</v>
      </c>
      <c r="K70" s="17">
        <v>57.662786409145163</v>
      </c>
      <c r="L70" s="17">
        <v>60.130561800837455</v>
      </c>
      <c r="M70" s="17">
        <v>65.011625957643176</v>
      </c>
      <c r="N70" s="17">
        <v>68.837548927847962</v>
      </c>
      <c r="O70" s="17">
        <v>73.04156430494541</v>
      </c>
      <c r="P70" s="17">
        <v>77.51739954197248</v>
      </c>
      <c r="Q70" s="17">
        <v>82.409043292613532</v>
      </c>
      <c r="R70" s="17">
        <v>86.730146988357916</v>
      </c>
      <c r="S70" s="17">
        <v>90.522825445784832</v>
      </c>
      <c r="T70" s="17">
        <v>95.655138046365707</v>
      </c>
      <c r="U70" s="17">
        <v>100</v>
      </c>
      <c r="V70" s="17">
        <v>101.70388282931557</v>
      </c>
      <c r="W70" s="17">
        <v>106.14668359105704</v>
      </c>
      <c r="X70" s="17">
        <v>109.57036945556212</v>
      </c>
      <c r="Y70" s="17">
        <v>116.22960488560126</v>
      </c>
      <c r="Z70" s="17">
        <v>123.86309452259792</v>
      </c>
      <c r="AA70" s="17">
        <v>130.30954923324458</v>
      </c>
      <c r="AB70" s="17">
        <v>135.93763198190328</v>
      </c>
      <c r="AC70" s="17">
        <v>142.21766527772189</v>
      </c>
      <c r="AD70" s="17">
        <v>148.60035533335193</v>
      </c>
      <c r="AE70" s="17">
        <v>158.50702013762987</v>
      </c>
      <c r="AF70" s="17">
        <v>165.91833889412607</v>
      </c>
      <c r="AG70" s="17">
        <v>172.31421235434175</v>
      </c>
      <c r="AH70" s="17">
        <v>180.23697995271976</v>
      </c>
      <c r="AI70" s="17">
        <v>187.08598519092311</v>
      </c>
    </row>
    <row r="71" spans="1:35" ht="14" x14ac:dyDescent="0.15">
      <c r="A71" s="15" t="s">
        <v>122</v>
      </c>
      <c r="B71" s="17">
        <v>15.228808833465482</v>
      </c>
      <c r="C71" s="17">
        <v>16.502032780335472</v>
      </c>
      <c r="D71" s="17">
        <v>22.906344537615521</v>
      </c>
      <c r="E71" s="17">
        <v>29.021599570039431</v>
      </c>
      <c r="F71" s="17">
        <v>34.168200405497558</v>
      </c>
      <c r="G71" s="17">
        <v>39.538093725075427</v>
      </c>
      <c r="H71" s="17">
        <v>45.594966461420903</v>
      </c>
      <c r="I71" s="17">
        <v>50.472699808628448</v>
      </c>
      <c r="J71" s="17">
        <v>53.73980228505917</v>
      </c>
      <c r="K71" s="17">
        <v>56.696740384944469</v>
      </c>
      <c r="L71" s="17">
        <v>59.123172221213515</v>
      </c>
      <c r="M71" s="17">
        <v>63.922462101814602</v>
      </c>
      <c r="N71" s="17">
        <v>67.684287967033171</v>
      </c>
      <c r="O71" s="17">
        <v>71.81787191697228</v>
      </c>
      <c r="P71" s="17">
        <v>76.218721828021017</v>
      </c>
      <c r="Q71" s="17">
        <v>81.02841405860228</v>
      </c>
      <c r="R71" s="17">
        <v>85.277124703205956</v>
      </c>
      <c r="S71" s="17">
        <v>89.006263013285974</v>
      </c>
      <c r="T71" s="17">
        <v>94.052592079398607</v>
      </c>
      <c r="U71" s="17">
        <v>98.324662950995574</v>
      </c>
      <c r="V71" s="17">
        <v>100</v>
      </c>
      <c r="W71" s="17">
        <v>104.36836887456656</v>
      </c>
      <c r="X71" s="17">
        <v>107.73469646134205</v>
      </c>
      <c r="Y71" s="17">
        <v>114.28236725304133</v>
      </c>
      <c r="Z71" s="17">
        <v>121.78797021001746</v>
      </c>
      <c r="AA71" s="17">
        <v>128.12642507654937</v>
      </c>
      <c r="AB71" s="17">
        <v>133.66021846977117</v>
      </c>
      <c r="AC71" s="17">
        <v>139.83504004109511</v>
      </c>
      <c r="AD71" s="17">
        <v>146.11079852550006</v>
      </c>
      <c r="AE71" s="17">
        <v>155.85149330399125</v>
      </c>
      <c r="AF71" s="17">
        <v>163.13864749154004</v>
      </c>
      <c r="AG71" s="17">
        <v>169.42736851406929</v>
      </c>
      <c r="AH71" s="17">
        <v>177.21740305156516</v>
      </c>
      <c r="AI71" s="17">
        <v>183.95166436752464</v>
      </c>
    </row>
    <row r="72" spans="1:35" ht="14" x14ac:dyDescent="0.15">
      <c r="A72" s="15" t="s">
        <v>101</v>
      </c>
      <c r="B72" s="17">
        <v>14.591402546271448</v>
      </c>
      <c r="C72" s="17">
        <v>15.81133532916297</v>
      </c>
      <c r="D72" s="17">
        <v>21.947592728161862</v>
      </c>
      <c r="E72" s="17">
        <v>27.806891956813629</v>
      </c>
      <c r="F72" s="17">
        <v>32.738080295728352</v>
      </c>
      <c r="G72" s="17">
        <v>37.883215145954466</v>
      </c>
      <c r="H72" s="17">
        <v>43.686575686756662</v>
      </c>
      <c r="I72" s="17">
        <v>48.360150065474585</v>
      </c>
      <c r="J72" s="17">
        <v>51.490507003750807</v>
      </c>
      <c r="K72" s="17">
        <v>54.323681586980179</v>
      </c>
      <c r="L72" s="17">
        <v>56.648554402790133</v>
      </c>
      <c r="M72" s="17">
        <v>61.246968589342224</v>
      </c>
      <c r="N72" s="17">
        <v>64.851342122993643</v>
      </c>
      <c r="O72" s="17">
        <v>68.811913697037298</v>
      </c>
      <c r="P72" s="17">
        <v>73.028564736527841</v>
      </c>
      <c r="Q72" s="17">
        <v>77.63694587963235</v>
      </c>
      <c r="R72" s="17">
        <v>81.707825486565653</v>
      </c>
      <c r="S72" s="17">
        <v>85.280879612343767</v>
      </c>
      <c r="T72" s="17">
        <v>90.11599308640551</v>
      </c>
      <c r="U72" s="17">
        <v>94.209255171138565</v>
      </c>
      <c r="V72" s="17">
        <v>95.814470493625691</v>
      </c>
      <c r="W72" s="17">
        <v>100</v>
      </c>
      <c r="X72" s="17">
        <v>103.22542895234979</v>
      </c>
      <c r="Y72" s="17">
        <v>109.49904505108223</v>
      </c>
      <c r="Z72" s="17">
        <v>116.69049878166282</v>
      </c>
      <c r="AA72" s="17">
        <v>122.76365574950783</v>
      </c>
      <c r="AB72" s="17">
        <v>128.06583058743453</v>
      </c>
      <c r="AC72" s="17">
        <v>133.98220317992474</v>
      </c>
      <c r="AD72" s="17">
        <v>139.99528794121613</v>
      </c>
      <c r="AE72" s="17">
        <v>149.32828306562774</v>
      </c>
      <c r="AF72" s="17">
        <v>156.31043126448168</v>
      </c>
      <c r="AG72" s="17">
        <v>162.3359360130394</v>
      </c>
      <c r="AH72" s="17">
        <v>169.79991635641164</v>
      </c>
      <c r="AI72" s="17">
        <v>176.25231317795527</v>
      </c>
    </row>
    <row r="73" spans="1:35" ht="14" x14ac:dyDescent="0.15">
      <c r="A73" s="15" t="s">
        <v>106</v>
      </c>
      <c r="B73" s="17">
        <v>14.135472910465726</v>
      </c>
      <c r="C73" s="17">
        <v>15.317287115814931</v>
      </c>
      <c r="D73" s="17">
        <v>21.261808210352083</v>
      </c>
      <c r="E73" s="17">
        <v>26.938025096170492</v>
      </c>
      <c r="F73" s="17">
        <v>31.715131269486584</v>
      </c>
      <c r="G73" s="17">
        <v>36.69949888359568</v>
      </c>
      <c r="H73" s="17">
        <v>42.32152496738275</v>
      </c>
      <c r="I73" s="17">
        <v>46.849066704095037</v>
      </c>
      <c r="J73" s="17">
        <v>49.881611078138022</v>
      </c>
      <c r="K73" s="17">
        <v>52.626258992885077</v>
      </c>
      <c r="L73" s="17">
        <v>54.878487769655912</v>
      </c>
      <c r="M73" s="17">
        <v>59.333217803933394</v>
      </c>
      <c r="N73" s="17">
        <v>62.8249674340708</v>
      </c>
      <c r="O73" s="17">
        <v>66.661785177760578</v>
      </c>
      <c r="P73" s="17">
        <v>70.746680810828877</v>
      </c>
      <c r="Q73" s="17">
        <v>75.211066369576997</v>
      </c>
      <c r="R73" s="17">
        <v>79.15474541092297</v>
      </c>
      <c r="S73" s="17">
        <v>82.616154253726123</v>
      </c>
      <c r="T73" s="17">
        <v>87.300187561346192</v>
      </c>
      <c r="U73" s="17">
        <v>91.265549707356314</v>
      </c>
      <c r="V73" s="17">
        <v>92.820607737900431</v>
      </c>
      <c r="W73" s="17">
        <v>96.875354275506382</v>
      </c>
      <c r="X73" s="17">
        <v>100</v>
      </c>
      <c r="Y73" s="17">
        <v>106.07758782153225</v>
      </c>
      <c r="Z73" s="17">
        <v>113.04433410059131</v>
      </c>
      <c r="AA73" s="17">
        <v>118.92772642889878</v>
      </c>
      <c r="AB73" s="17">
        <v>124.06422708744702</v>
      </c>
      <c r="AC73" s="17">
        <v>129.79573399668089</v>
      </c>
      <c r="AD73" s="17">
        <v>135.62093116206842</v>
      </c>
      <c r="AE73" s="17">
        <v>144.66230325335786</v>
      </c>
      <c r="AF73" s="17">
        <v>151.42628405703852</v>
      </c>
      <c r="AG73" s="17">
        <v>157.26351312909125</v>
      </c>
      <c r="AH73" s="17">
        <v>164.49427052978726</v>
      </c>
      <c r="AI73" s="17">
        <v>170.74505280991917</v>
      </c>
    </row>
    <row r="74" spans="1:35" ht="14" x14ac:dyDescent="0.15">
      <c r="A74" s="15" t="s">
        <v>112</v>
      </c>
      <c r="B74" s="17">
        <v>13.325597989886063</v>
      </c>
      <c r="C74" s="17">
        <v>14.439701571631833</v>
      </c>
      <c r="D74" s="17">
        <v>20.043638479151234</v>
      </c>
      <c r="E74" s="17">
        <v>25.394643344918194</v>
      </c>
      <c r="F74" s="17">
        <v>29.898050965152944</v>
      </c>
      <c r="G74" s="17">
        <v>34.596845231190485</v>
      </c>
      <c r="H74" s="17">
        <v>39.896764091756694</v>
      </c>
      <c r="I74" s="17">
        <v>44.164905769647724</v>
      </c>
      <c r="J74" s="17">
        <v>47.023704160826284</v>
      </c>
      <c r="K74" s="17">
        <v>49.611100774109687</v>
      </c>
      <c r="L74" s="17">
        <v>51.734290811726346</v>
      </c>
      <c r="M74" s="17">
        <v>55.933792446107624</v>
      </c>
      <c r="N74" s="17">
        <v>59.225486480489344</v>
      </c>
      <c r="O74" s="17">
        <v>62.84247836584872</v>
      </c>
      <c r="P74" s="17">
        <v>66.693334816262009</v>
      </c>
      <c r="Q74" s="17">
        <v>70.901938773451448</v>
      </c>
      <c r="R74" s="17">
        <v>74.619669466933033</v>
      </c>
      <c r="S74" s="17">
        <v>77.882761052901898</v>
      </c>
      <c r="T74" s="17">
        <v>82.298428305347898</v>
      </c>
      <c r="U74" s="17">
        <v>86.036599796088765</v>
      </c>
      <c r="V74" s="17">
        <v>87.502562646941286</v>
      </c>
      <c r="W74" s="17">
        <v>91.324997358058383</v>
      </c>
      <c r="X74" s="17">
        <v>94.270620263577882</v>
      </c>
      <c r="Y74" s="17">
        <v>100</v>
      </c>
      <c r="Z74" s="17">
        <v>106.56759492945871</v>
      </c>
      <c r="AA74" s="17">
        <v>112.1139053698939</v>
      </c>
      <c r="AB74" s="17">
        <v>116.9561164005501</v>
      </c>
      <c r="AC74" s="17">
        <v>122.35924351433469</v>
      </c>
      <c r="AD74" s="17">
        <v>127.85069301372185</v>
      </c>
      <c r="AE74" s="17">
        <v>136.37405056451846</v>
      </c>
      <c r="AF74" s="17">
        <v>142.75049722265754</v>
      </c>
      <c r="AG74" s="17">
        <v>148.25328927508755</v>
      </c>
      <c r="AH74" s="17">
        <v>155.06976912647826</v>
      </c>
      <c r="AI74" s="17">
        <v>160.96242035328441</v>
      </c>
    </row>
    <row r="75" spans="1:35" ht="14" x14ac:dyDescent="0.15">
      <c r="A75" s="15" t="s">
        <v>115</v>
      </c>
      <c r="B75" s="17">
        <v>12.504362136263655</v>
      </c>
      <c r="C75" s="17">
        <v>13.54980524913792</v>
      </c>
      <c r="D75" s="17">
        <v>18.808380251444078</v>
      </c>
      <c r="E75" s="17">
        <v>23.829611019867635</v>
      </c>
      <c r="F75" s="17">
        <v>28.055480641130771</v>
      </c>
      <c r="G75" s="17">
        <v>32.464695533470092</v>
      </c>
      <c r="H75" s="17">
        <v>37.437988647642776</v>
      </c>
      <c r="I75" s="17">
        <v>41.443091400234962</v>
      </c>
      <c r="J75" s="17">
        <v>44.125706498258808</v>
      </c>
      <c r="K75" s="17">
        <v>46.553645887334916</v>
      </c>
      <c r="L75" s="17">
        <v>48.54598702914457</v>
      </c>
      <c r="M75" s="17">
        <v>52.486679917222865</v>
      </c>
      <c r="N75" s="17">
        <v>55.575511974060241</v>
      </c>
      <c r="O75" s="17">
        <v>58.969594281870229</v>
      </c>
      <c r="P75" s="17">
        <v>62.583128445761538</v>
      </c>
      <c r="Q75" s="17">
        <v>66.532362694667384</v>
      </c>
      <c r="R75" s="17">
        <v>70.020975434724534</v>
      </c>
      <c r="S75" s="17">
        <v>73.082967767505266</v>
      </c>
      <c r="T75" s="17">
        <v>77.226504323218023</v>
      </c>
      <c r="U75" s="17">
        <v>80.734298126029572</v>
      </c>
      <c r="V75" s="17">
        <v>82.109915969167432</v>
      </c>
      <c r="W75" s="17">
        <v>85.696779981297297</v>
      </c>
      <c r="X75" s="17">
        <v>88.460868734045562</v>
      </c>
      <c r="Y75" s="17">
        <v>93.837155719047558</v>
      </c>
      <c r="Z75" s="17">
        <v>100</v>
      </c>
      <c r="AA75" s="17">
        <v>105.20449996465295</v>
      </c>
      <c r="AB75" s="17">
        <v>109.7482930697347</v>
      </c>
      <c r="AC75" s="17">
        <v>114.81843387319483</v>
      </c>
      <c r="AD75" s="17">
        <v>119.97145389116764</v>
      </c>
      <c r="AE75" s="17">
        <v>127.96953018859982</v>
      </c>
      <c r="AF75" s="17">
        <v>133.95300636853983</v>
      </c>
      <c r="AG75" s="17">
        <v>139.11666991567392</v>
      </c>
      <c r="AH75" s="17">
        <v>145.51306072838094</v>
      </c>
      <c r="AI75" s="17">
        <v>151.04255703605941</v>
      </c>
    </row>
    <row r="76" spans="1:35" ht="14" x14ac:dyDescent="0.15">
      <c r="A76" s="15" t="s">
        <v>126</v>
      </c>
      <c r="B76" s="17">
        <v>11.885767377312684</v>
      </c>
      <c r="C76" s="17">
        <v>12.879492087971938</v>
      </c>
      <c r="D76" s="17">
        <v>17.877923717867006</v>
      </c>
      <c r="E76" s="17">
        <v>22.65075260837132</v>
      </c>
      <c r="F76" s="17">
        <v>26.66756711980663</v>
      </c>
      <c r="G76" s="17">
        <v>30.858656753634794</v>
      </c>
      <c r="H76" s="17">
        <v>35.585919480840978</v>
      </c>
      <c r="I76" s="17">
        <v>39.392888530584884</v>
      </c>
      <c r="J76" s="17">
        <v>41.942793809280346</v>
      </c>
      <c r="K76" s="17">
        <v>44.250622267085724</v>
      </c>
      <c r="L76" s="17">
        <v>46.144401661008075</v>
      </c>
      <c r="M76" s="17">
        <v>49.890147222654505</v>
      </c>
      <c r="N76" s="17">
        <v>52.826173778434125</v>
      </c>
      <c r="O76" s="17">
        <v>56.052349758501855</v>
      </c>
      <c r="P76" s="17">
        <v>59.487121241761024</v>
      </c>
      <c r="Q76" s="17">
        <v>63.240985620407116</v>
      </c>
      <c r="R76" s="17">
        <v>66.557015582271163</v>
      </c>
      <c r="S76" s="17">
        <v>69.467530183651832</v>
      </c>
      <c r="T76" s="17">
        <v>73.40608467239035</v>
      </c>
      <c r="U76" s="17">
        <v>76.740346803753653</v>
      </c>
      <c r="V76" s="17">
        <v>78.047912396100045</v>
      </c>
      <c r="W76" s="17">
        <v>81.457333108460233</v>
      </c>
      <c r="X76" s="17">
        <v>84.084681514352539</v>
      </c>
      <c r="Y76" s="17">
        <v>89.195001877843012</v>
      </c>
      <c r="Z76" s="17">
        <v>95.052968298502833</v>
      </c>
      <c r="AA76" s="17">
        <v>100</v>
      </c>
      <c r="AB76" s="17">
        <v>104.31901021972291</v>
      </c>
      <c r="AC76" s="17">
        <v>109.13832955032532</v>
      </c>
      <c r="AD76" s="17">
        <v>114.0364280344245</v>
      </c>
      <c r="AE76" s="17">
        <v>121.6388369619128</v>
      </c>
      <c r="AF76" s="17">
        <v>127.32630867837962</v>
      </c>
      <c r="AG76" s="17">
        <v>132.23452415287838</v>
      </c>
      <c r="AH76" s="17">
        <v>138.31448348432909</v>
      </c>
      <c r="AI76" s="17">
        <v>143.57043385673359</v>
      </c>
    </row>
    <row r="77" spans="1:35" ht="14" x14ac:dyDescent="0.15">
      <c r="A77" s="15" t="s">
        <v>127</v>
      </c>
      <c r="B77" s="17">
        <v>11.393673456331854</v>
      </c>
      <c r="C77" s="17">
        <v>12.346256028354167</v>
      </c>
      <c r="D77" s="17">
        <v>17.137742852631998</v>
      </c>
      <c r="E77" s="17">
        <v>21.71296733036764</v>
      </c>
      <c r="F77" s="17">
        <v>25.56347789692196</v>
      </c>
      <c r="G77" s="17">
        <v>29.581048256342207</v>
      </c>
      <c r="H77" s="17">
        <v>34.112593098695811</v>
      </c>
      <c r="I77" s="17">
        <v>37.761946214417904</v>
      </c>
      <c r="J77" s="17">
        <v>40.206280447770673</v>
      </c>
      <c r="K77" s="17">
        <v>42.418560312144862</v>
      </c>
      <c r="L77" s="17">
        <v>44.233933550381657</v>
      </c>
      <c r="M77" s="17">
        <v>47.824597949666995</v>
      </c>
      <c r="N77" s="17">
        <v>50.639067287130587</v>
      </c>
      <c r="O77" s="17">
        <v>53.731673297552426</v>
      </c>
      <c r="P77" s="17">
        <v>57.024238551023167</v>
      </c>
      <c r="Q77" s="17">
        <v>60.62268563247023</v>
      </c>
      <c r="R77" s="17">
        <v>63.80142549482094</v>
      </c>
      <c r="S77" s="17">
        <v>66.591439122490883</v>
      </c>
      <c r="T77" s="17">
        <v>70.366929783725979</v>
      </c>
      <c r="U77" s="17">
        <v>73.563146968245348</v>
      </c>
      <c r="V77" s="17">
        <v>74.816576798141469</v>
      </c>
      <c r="W77" s="17">
        <v>78.084840852007659</v>
      </c>
      <c r="X77" s="17">
        <v>80.603411916244568</v>
      </c>
      <c r="Y77" s="17">
        <v>85.502155062605738</v>
      </c>
      <c r="Z77" s="17">
        <v>91.117590263075357</v>
      </c>
      <c r="AA77" s="17">
        <v>95.859805216109734</v>
      </c>
      <c r="AB77" s="17">
        <v>100</v>
      </c>
      <c r="AC77" s="17">
        <v>104.6197901230578</v>
      </c>
      <c r="AD77" s="17">
        <v>109.31509778920849</v>
      </c>
      <c r="AE77" s="17">
        <v>116.60275217883091</v>
      </c>
      <c r="AF77" s="17">
        <v>122.05475148795735</v>
      </c>
      <c r="AG77" s="17">
        <v>126.75975728139879</v>
      </c>
      <c r="AH77" s="17">
        <v>132.58799445374615</v>
      </c>
      <c r="AI77" s="17">
        <v>137.62633824298848</v>
      </c>
    </row>
    <row r="78" spans="1:35" ht="14" x14ac:dyDescent="0.15">
      <c r="A78" s="15" t="s">
        <v>128</v>
      </c>
      <c r="B78" s="17">
        <v>10.890552774891042</v>
      </c>
      <c r="C78" s="17">
        <v>11.801071301932483</v>
      </c>
      <c r="D78" s="17">
        <v>16.380976135082982</v>
      </c>
      <c r="E78" s="17">
        <v>20.754168312542035</v>
      </c>
      <c r="F78" s="17">
        <v>24.434648422495613</v>
      </c>
      <c r="G78" s="17">
        <v>28.274811315858926</v>
      </c>
      <c r="H78" s="17">
        <v>32.606252658862417</v>
      </c>
      <c r="I78" s="17">
        <v>36.094458008375724</v>
      </c>
      <c r="J78" s="17">
        <v>38.430855577590542</v>
      </c>
      <c r="K78" s="17">
        <v>40.545445811208886</v>
      </c>
      <c r="L78" s="17">
        <v>42.28065598138938</v>
      </c>
      <c r="M78" s="17">
        <v>45.712764184877329</v>
      </c>
      <c r="N78" s="17">
        <v>48.402952469668492</v>
      </c>
      <c r="O78" s="17">
        <v>51.358995496312112</v>
      </c>
      <c r="P78" s="17">
        <v>54.506167985950917</v>
      </c>
      <c r="Q78" s="17">
        <v>57.945715204707938</v>
      </c>
      <c r="R78" s="17">
        <v>60.984088593348616</v>
      </c>
      <c r="S78" s="17">
        <v>63.650901081108543</v>
      </c>
      <c r="T78" s="17">
        <v>67.259674007143104</v>
      </c>
      <c r="U78" s="17">
        <v>70.314752956125758</v>
      </c>
      <c r="V78" s="17">
        <v>71.512833958220853</v>
      </c>
      <c r="W78" s="17">
        <v>74.636778338172235</v>
      </c>
      <c r="X78" s="17">
        <v>77.044134595792784</v>
      </c>
      <c r="Y78" s="17">
        <v>81.726559537191605</v>
      </c>
      <c r="Z78" s="17">
        <v>87.094028917377258</v>
      </c>
      <c r="AA78" s="17">
        <v>91.626837621597005</v>
      </c>
      <c r="AB78" s="17">
        <v>95.584210102482686</v>
      </c>
      <c r="AC78" s="17">
        <v>100</v>
      </c>
      <c r="AD78" s="17">
        <v>104.48797274457147</v>
      </c>
      <c r="AE78" s="17">
        <v>111.45381962789097</v>
      </c>
      <c r="AF78" s="17">
        <v>116.66507010231226</v>
      </c>
      <c r="AG78" s="17">
        <v>121.16231272524934</v>
      </c>
      <c r="AH78" s="17">
        <v>126.73318718933682</v>
      </c>
      <c r="AI78" s="17">
        <v>131.54904830253159</v>
      </c>
    </row>
    <row r="79" spans="1:35" ht="14" x14ac:dyDescent="0.15">
      <c r="A79" s="15" t="s">
        <v>142</v>
      </c>
      <c r="B79" s="17">
        <v>10.422781195605928</v>
      </c>
      <c r="C79" s="17">
        <v>11.294191084347162</v>
      </c>
      <c r="D79" s="17">
        <v>15.677379611074931</v>
      </c>
      <c r="E79" s="17">
        <v>19.862734214661362</v>
      </c>
      <c r="F79" s="17">
        <v>23.385130154862807</v>
      </c>
      <c r="G79" s="17">
        <v>27.060350175401322</v>
      </c>
      <c r="H79" s="17">
        <v>31.205747228507153</v>
      </c>
      <c r="I79" s="17">
        <v>34.544127003603833</v>
      </c>
      <c r="J79" s="17">
        <v>36.780171505037806</v>
      </c>
      <c r="K79" s="17">
        <v>38.803935750888009</v>
      </c>
      <c r="L79" s="17">
        <v>40.464615085171154</v>
      </c>
      <c r="M79" s="17">
        <v>43.749307201725067</v>
      </c>
      <c r="N79" s="17">
        <v>46.323946381841544</v>
      </c>
      <c r="O79" s="17">
        <v>49.153021297353476</v>
      </c>
      <c r="P79" s="17">
        <v>52.16501627339948</v>
      </c>
      <c r="Q79" s="17">
        <v>55.456827884258509</v>
      </c>
      <c r="R79" s="17">
        <v>58.364696903851986</v>
      </c>
      <c r="S79" s="17">
        <v>60.916964325365811</v>
      </c>
      <c r="T79" s="17">
        <v>64.370733052276094</v>
      </c>
      <c r="U79" s="17">
        <v>67.294590094130115</v>
      </c>
      <c r="V79" s="17">
        <v>68.441211059802299</v>
      </c>
      <c r="W79" s="17">
        <v>71.43097562111511</v>
      </c>
      <c r="X79" s="17">
        <v>73.73493098974447</v>
      </c>
      <c r="Y79" s="17">
        <v>78.216236175792403</v>
      </c>
      <c r="Z79" s="17">
        <v>83.353161736887188</v>
      </c>
      <c r="AA79" s="17">
        <v>87.691277010020613</v>
      </c>
      <c r="AB79" s="17">
        <v>91.478672225888928</v>
      </c>
      <c r="AC79" s="17">
        <v>95.704794890084969</v>
      </c>
      <c r="AD79" s="17">
        <v>100</v>
      </c>
      <c r="AE79" s="17">
        <v>106.6666494720383</v>
      </c>
      <c r="AF79" s="17">
        <v>111.65406604979179</v>
      </c>
      <c r="AG79" s="17">
        <v>115.95814287778319</v>
      </c>
      <c r="AH79" s="17">
        <v>121.28973685722224</v>
      </c>
      <c r="AI79" s="17">
        <v>125.89874685779667</v>
      </c>
    </row>
    <row r="80" spans="1:35" ht="14" x14ac:dyDescent="0.15">
      <c r="A80" s="15" t="s">
        <v>153</v>
      </c>
      <c r="B80" s="17">
        <v>9.7713589460201096</v>
      </c>
      <c r="C80" s="17">
        <v>10.588305848406565</v>
      </c>
      <c r="D80" s="17">
        <v>14.697545754621846</v>
      </c>
      <c r="E80" s="17">
        <v>18.621316327994535</v>
      </c>
      <c r="F80" s="17">
        <v>21.923563054254373</v>
      </c>
      <c r="G80" s="17">
        <v>25.369082378925711</v>
      </c>
      <c r="H80" s="17">
        <v>29.255392742684261</v>
      </c>
      <c r="I80" s="17">
        <v>32.385124286348997</v>
      </c>
      <c r="J80" s="17">
        <v>34.481416344364874</v>
      </c>
      <c r="K80" s="17">
        <v>36.378695630690174</v>
      </c>
      <c r="L80" s="17">
        <v>37.935582757550272</v>
      </c>
      <c r="M80" s="17">
        <v>41.014982113217641</v>
      </c>
      <c r="N80" s="17">
        <v>43.428706733668378</v>
      </c>
      <c r="O80" s="17">
        <v>46.080964894503879</v>
      </c>
      <c r="P80" s="17">
        <v>48.9047106397338</v>
      </c>
      <c r="Q80" s="17">
        <v>51.990784522388147</v>
      </c>
      <c r="R80" s="17">
        <v>54.716912167707832</v>
      </c>
      <c r="S80" s="17">
        <v>57.109663261087654</v>
      </c>
      <c r="T80" s="17">
        <v>60.34757196451578</v>
      </c>
      <c r="U80" s="17">
        <v>63.088688383120896</v>
      </c>
      <c r="V80" s="17">
        <v>64.163645711721301</v>
      </c>
      <c r="W80" s="17">
        <v>66.966550439779297</v>
      </c>
      <c r="X80" s="17">
        <v>69.12650894605386</v>
      </c>
      <c r="Y80" s="17">
        <v>73.327733235209649</v>
      </c>
      <c r="Z80" s="17">
        <v>78.143601725052278</v>
      </c>
      <c r="AA80" s="17">
        <v>82.21058544921118</v>
      </c>
      <c r="AB80" s="17">
        <v>85.761269036456639</v>
      </c>
      <c r="AC80" s="17">
        <v>89.723259672811892</v>
      </c>
      <c r="AD80" s="17">
        <v>93.750015112468773</v>
      </c>
      <c r="AE80" s="17">
        <v>100</v>
      </c>
      <c r="AF80" s="17">
        <v>104.67570379536566</v>
      </c>
      <c r="AG80" s="17">
        <v>108.71077647205986</v>
      </c>
      <c r="AH80" s="17">
        <v>113.70914663351945</v>
      </c>
      <c r="AI80" s="17">
        <v>118.03009420559319</v>
      </c>
    </row>
    <row r="81" spans="1:35" ht="14" x14ac:dyDescent="0.15">
      <c r="A81" s="15" t="s">
        <v>165</v>
      </c>
      <c r="B81" s="17">
        <v>9.3348872677488703</v>
      </c>
      <c r="C81" s="17">
        <v>10.115342399900198</v>
      </c>
      <c r="D81" s="17">
        <v>14.041028836409462</v>
      </c>
      <c r="E81" s="17">
        <v>17.789530571867964</v>
      </c>
      <c r="F81" s="17">
        <v>20.944270981080329</v>
      </c>
      <c r="G81" s="17">
        <v>24.235884220583458</v>
      </c>
      <c r="H81" s="17">
        <v>27.94859903677045</v>
      </c>
      <c r="I81" s="17">
        <v>30.938530253075587</v>
      </c>
      <c r="J81" s="17">
        <v>32.941184146966755</v>
      </c>
      <c r="K81" s="17">
        <v>34.753714865684792</v>
      </c>
      <c r="L81" s="17">
        <v>36.241058222748535</v>
      </c>
      <c r="M81" s="17">
        <v>39.182905513011228</v>
      </c>
      <c r="N81" s="17">
        <v>41.488812741654677</v>
      </c>
      <c r="O81" s="17">
        <v>44.022598581796238</v>
      </c>
      <c r="P81" s="17">
        <v>46.720211917886303</v>
      </c>
      <c r="Q81" s="17">
        <v>49.668435594210877</v>
      </c>
      <c r="R81" s="17">
        <v>52.272791281801091</v>
      </c>
      <c r="S81" s="17">
        <v>54.558661838790599</v>
      </c>
      <c r="T81" s="17">
        <v>57.651938106374168</v>
      </c>
      <c r="U81" s="17">
        <v>60.270613041642648</v>
      </c>
      <c r="V81" s="17">
        <v>61.297553668382442</v>
      </c>
      <c r="W81" s="17">
        <v>63.975256923702787</v>
      </c>
      <c r="X81" s="17">
        <v>66.038733382860059</v>
      </c>
      <c r="Y81" s="17">
        <v>70.052295400430921</v>
      </c>
      <c r="Z81" s="17">
        <v>74.653046401119056</v>
      </c>
      <c r="AA81" s="17">
        <v>78.538364174677668</v>
      </c>
      <c r="AB81" s="17">
        <v>81.930444149785203</v>
      </c>
      <c r="AC81" s="17">
        <v>85.715458716394338</v>
      </c>
      <c r="AD81" s="17">
        <v>89.56234514147053</v>
      </c>
      <c r="AE81" s="17">
        <v>95.533152750989501</v>
      </c>
      <c r="AF81" s="17">
        <v>100</v>
      </c>
      <c r="AG81" s="17">
        <v>103.8548321438397</v>
      </c>
      <c r="AH81" s="17">
        <v>108.62993274524678</v>
      </c>
      <c r="AI81" s="17">
        <v>112.75787018956613</v>
      </c>
    </row>
    <row r="82" spans="1:35" ht="14" x14ac:dyDescent="0.15">
      <c r="A82" s="15" t="s">
        <v>168</v>
      </c>
      <c r="B82" s="17">
        <v>8.988399552579299</v>
      </c>
      <c r="C82" s="17">
        <v>9.7398861382688224</v>
      </c>
      <c r="D82" s="17">
        <v>13.519860892907259</v>
      </c>
      <c r="E82" s="17">
        <v>17.129227600338648</v>
      </c>
      <c r="F82" s="17">
        <v>20.166871919904853</v>
      </c>
      <c r="G82" s="17">
        <v>23.336308691940864</v>
      </c>
      <c r="H82" s="17">
        <v>26.911216801218679</v>
      </c>
      <c r="I82" s="17">
        <v>29.790169233748792</v>
      </c>
      <c r="J82" s="17">
        <v>31.718489613793778</v>
      </c>
      <c r="K82" s="17">
        <v>33.46374371637387</v>
      </c>
      <c r="L82" s="17">
        <v>34.895880600485107</v>
      </c>
      <c r="M82" s="17">
        <v>37.728533862288288</v>
      </c>
      <c r="N82" s="17">
        <v>39.948851570230609</v>
      </c>
      <c r="O82" s="17">
        <v>42.388589604405325</v>
      </c>
      <c r="P82" s="17">
        <v>44.986074266798163</v>
      </c>
      <c r="Q82" s="17">
        <v>47.824867239128295</v>
      </c>
      <c r="R82" s="17">
        <v>50.332555744159194</v>
      </c>
      <c r="S82" s="17">
        <v>52.53358049168714</v>
      </c>
      <c r="T82" s="17">
        <v>55.512042065145138</v>
      </c>
      <c r="U82" s="17">
        <v>58.033518323121847</v>
      </c>
      <c r="V82" s="17">
        <v>59.022341477077234</v>
      </c>
      <c r="W82" s="17">
        <v>61.600655071202262</v>
      </c>
      <c r="X82" s="17">
        <v>63.58754043470595</v>
      </c>
      <c r="Y82" s="17">
        <v>67.45212904817754</v>
      </c>
      <c r="Z82" s="17">
        <v>71.882111655357591</v>
      </c>
      <c r="AA82" s="17">
        <v>75.623216131052473</v>
      </c>
      <c r="AB82" s="17">
        <v>78.889390564235782</v>
      </c>
      <c r="AC82" s="17">
        <v>82.53391483766282</v>
      </c>
      <c r="AD82" s="17">
        <v>86.238014440604957</v>
      </c>
      <c r="AE82" s="17">
        <v>91.987200575005872</v>
      </c>
      <c r="AF82" s="17">
        <v>96.288249603542056</v>
      </c>
      <c r="AG82" s="17">
        <v>100</v>
      </c>
      <c r="AH82" s="17">
        <v>104.59786078590308</v>
      </c>
      <c r="AI82" s="17">
        <v>108.57257949576737</v>
      </c>
    </row>
    <row r="83" spans="1:35" ht="14" x14ac:dyDescent="0.15">
      <c r="A83" s="15" t="s">
        <v>170</v>
      </c>
      <c r="B83" s="17">
        <v>8.593291951713308</v>
      </c>
      <c r="C83" s="17">
        <v>9.3117450635104131</v>
      </c>
      <c r="D83" s="17">
        <v>12.925561566292917</v>
      </c>
      <c r="E83" s="17">
        <v>16.376269525626093</v>
      </c>
      <c r="F83" s="17">
        <v>19.280386585709977</v>
      </c>
      <c r="G83" s="17">
        <v>22.31050283113052</v>
      </c>
      <c r="H83" s="17">
        <v>25.728266906244006</v>
      </c>
      <c r="I83" s="17">
        <v>28.480667778402303</v>
      </c>
      <c r="J83" s="17">
        <v>30.32422400943458</v>
      </c>
      <c r="K83" s="17">
        <v>31.992761099454409</v>
      </c>
      <c r="L83" s="17">
        <v>33.361944822095367</v>
      </c>
      <c r="M83" s="17">
        <v>36.070081719465783</v>
      </c>
      <c r="N83" s="17">
        <v>38.19279980495989</v>
      </c>
      <c r="O83" s="17">
        <v>40.525293047023908</v>
      </c>
      <c r="P83" s="17">
        <v>43.008598769412934</v>
      </c>
      <c r="Q83" s="17">
        <v>45.722605490966004</v>
      </c>
      <c r="R83" s="17">
        <v>48.120062270855399</v>
      </c>
      <c r="S83" s="17">
        <v>50.224335466301653</v>
      </c>
      <c r="T83" s="17">
        <v>53.071871306020668</v>
      </c>
      <c r="U83" s="17">
        <v>55.482509763663522</v>
      </c>
      <c r="V83" s="17">
        <v>56.427866720799926</v>
      </c>
      <c r="W83" s="17">
        <v>58.892844087213248</v>
      </c>
      <c r="X83" s="17">
        <v>60.792390931264443</v>
      </c>
      <c r="Y83" s="17">
        <v>64.487101878921251</v>
      </c>
      <c r="Z83" s="17">
        <v>68.722353512076168</v>
      </c>
      <c r="AA83" s="17">
        <v>72.299008376320856</v>
      </c>
      <c r="AB83" s="17">
        <v>75.421609936852462</v>
      </c>
      <c r="AC83" s="17">
        <v>78.905930023366352</v>
      </c>
      <c r="AD83" s="17">
        <v>82.447206656665657</v>
      </c>
      <c r="AE83" s="17">
        <v>87.943672923952604</v>
      </c>
      <c r="AF83" s="17">
        <v>92.055658576641818</v>
      </c>
      <c r="AG83" s="17">
        <v>95.604249693677545</v>
      </c>
      <c r="AH83" s="17">
        <v>100</v>
      </c>
      <c r="AI83" s="17">
        <v>103.8</v>
      </c>
    </row>
    <row r="84" spans="1:35" ht="14" x14ac:dyDescent="0.15">
      <c r="A84" s="15" t="s">
        <v>176</v>
      </c>
      <c r="B84" s="17">
        <v>8.2787013022286207</v>
      </c>
      <c r="C84" s="17">
        <v>8.9708526623414393</v>
      </c>
      <c r="D84" s="17">
        <v>12.452371451149247</v>
      </c>
      <c r="E84" s="17">
        <v>15.776752914861362</v>
      </c>
      <c r="F84" s="17">
        <v>18.574553550780326</v>
      </c>
      <c r="G84" s="17">
        <v>21.493740685096839</v>
      </c>
      <c r="H84" s="17">
        <v>24.786384302739894</v>
      </c>
      <c r="I84" s="17">
        <v>27.438022907902027</v>
      </c>
      <c r="J84" s="17">
        <v>29.214088641073776</v>
      </c>
      <c r="K84" s="17">
        <v>30.821542485023514</v>
      </c>
      <c r="L84" s="17">
        <v>32.140601948068756</v>
      </c>
      <c r="M84" s="17">
        <v>34.749597032240636</v>
      </c>
      <c r="N84" s="17">
        <v>36.794604821734005</v>
      </c>
      <c r="O84" s="17">
        <v>39.041708137787964</v>
      </c>
      <c r="P84" s="17">
        <v>41.434102860706105</v>
      </c>
      <c r="Q84" s="17">
        <v>44.048752881470136</v>
      </c>
      <c r="R84" s="17">
        <v>46.358441494080353</v>
      </c>
      <c r="S84" s="17">
        <v>48.385679639982321</v>
      </c>
      <c r="T84" s="17">
        <v>51.128970429692359</v>
      </c>
      <c r="U84" s="17">
        <v>53.451358153818418</v>
      </c>
      <c r="V84" s="17">
        <v>54.362106667437303</v>
      </c>
      <c r="W84" s="17">
        <v>56.736844014656306</v>
      </c>
      <c r="X84" s="17">
        <v>58.566850608154574</v>
      </c>
      <c r="Y84" s="17">
        <v>62.126302388170764</v>
      </c>
      <c r="Z84" s="17">
        <v>66.206506273676453</v>
      </c>
      <c r="AA84" s="17">
        <v>69.652223869287909</v>
      </c>
      <c r="AB84" s="17">
        <v>72.660510536466745</v>
      </c>
      <c r="AC84" s="17">
        <v>76.017273625593802</v>
      </c>
      <c r="AD84" s="17">
        <v>79.428908147076754</v>
      </c>
      <c r="AE84" s="17">
        <v>84.724155032709632</v>
      </c>
      <c r="AF84" s="17">
        <v>88.685605565165531</v>
      </c>
      <c r="AG84" s="17">
        <v>92.104286795450435</v>
      </c>
      <c r="AH84" s="17">
        <v>96.339113680154142</v>
      </c>
      <c r="AI84" s="17">
        <v>100</v>
      </c>
    </row>
  </sheetData>
  <phoneticPr fontId="22" type="noConversion"/>
  <conditionalFormatting sqref="B6:AG40">
    <cfRule type="cellIs" dxfId="7" priority="7" stopIfTrue="1" operator="equal">
      <formula>100</formula>
    </cfRule>
  </conditionalFormatting>
  <conditionalFormatting sqref="B51:AI84">
    <cfRule type="cellIs" dxfId="6" priority="2" stopIfTrue="1" operator="equal">
      <formula>100</formula>
    </cfRule>
  </conditionalFormatting>
  <conditionalFormatting sqref="AH6:AI39">
    <cfRule type="cellIs" dxfId="5" priority="1" stopIfTrue="1" operator="equal">
      <formula>100</formula>
    </cfRule>
  </conditionalFormatting>
  <hyperlinks>
    <hyperlink ref="B42" r:id="rId1" xr:uid="{42F86395-6AE3-124E-9F4F-3F4CBA347EE2}"/>
  </hyperlinks>
  <pageMargins left="0.75" right="0.75" top="1" bottom="1" header="0" footer="0"/>
  <pageSetup orientation="portrait" horizontalDpi="4294967292" verticalDpi="4294967292" r:id="rId2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82"/>
  <sheetViews>
    <sheetView topLeftCell="A31" workbookViewId="0">
      <selection activeCell="H70" sqref="H70"/>
    </sheetView>
  </sheetViews>
  <sheetFormatPr baseColWidth="10" defaultColWidth="9.6640625" defaultRowHeight="13" x14ac:dyDescent="0.15"/>
  <cols>
    <col min="1" max="24" width="9.6640625" style="5"/>
    <col min="25" max="25" width="10.33203125" style="5" bestFit="1" customWidth="1"/>
    <col min="26" max="16384" width="9.6640625" style="5"/>
  </cols>
  <sheetData>
    <row r="1" spans="1:37" x14ac:dyDescent="0.15">
      <c r="A1" s="12" t="s">
        <v>28</v>
      </c>
    </row>
    <row r="3" spans="1:37" ht="14" x14ac:dyDescent="0.15">
      <c r="B3" s="4" t="s">
        <v>126</v>
      </c>
      <c r="D3" s="4" t="s">
        <v>152</v>
      </c>
      <c r="E3" s="4" t="s">
        <v>151</v>
      </c>
      <c r="F3" s="4" t="s">
        <v>150</v>
      </c>
      <c r="G3" s="4" t="s">
        <v>149</v>
      </c>
      <c r="H3" s="4" t="s">
        <v>148</v>
      </c>
      <c r="I3" s="4" t="s">
        <v>147</v>
      </c>
      <c r="J3" s="4" t="s">
        <v>146</v>
      </c>
      <c r="K3" s="4" t="s">
        <v>31</v>
      </c>
      <c r="L3" s="4" t="s">
        <v>30</v>
      </c>
      <c r="M3" s="4" t="s">
        <v>64</v>
      </c>
      <c r="N3" s="4" t="s">
        <v>32</v>
      </c>
      <c r="O3" s="4" t="s">
        <v>29</v>
      </c>
      <c r="P3" s="4" t="s">
        <v>33</v>
      </c>
      <c r="Q3" s="4" t="s">
        <v>27</v>
      </c>
      <c r="R3" s="4" t="s">
        <v>34</v>
      </c>
      <c r="S3" s="4" t="s">
        <v>35</v>
      </c>
      <c r="T3" s="4" t="s">
        <v>36</v>
      </c>
      <c r="U3" s="4" t="s">
        <v>56</v>
      </c>
      <c r="V3" s="4" t="s">
        <v>57</v>
      </c>
      <c r="W3" s="4" t="s">
        <v>58</v>
      </c>
      <c r="X3" s="4" t="s">
        <v>38</v>
      </c>
      <c r="Y3" s="4" t="s">
        <v>101</v>
      </c>
      <c r="Z3" s="4" t="s">
        <v>106</v>
      </c>
      <c r="AA3" s="4" t="s">
        <v>112</v>
      </c>
      <c r="AB3" s="4" t="s">
        <v>115</v>
      </c>
      <c r="AC3" s="4" t="s">
        <v>126</v>
      </c>
      <c r="AD3" s="4" t="s">
        <v>127</v>
      </c>
      <c r="AE3" s="4" t="s">
        <v>128</v>
      </c>
      <c r="AF3" s="4" t="s">
        <v>142</v>
      </c>
      <c r="AG3" s="2" t="s">
        <v>153</v>
      </c>
      <c r="AH3" s="2" t="s">
        <v>165</v>
      </c>
      <c r="AI3" s="2" t="s">
        <v>168</v>
      </c>
      <c r="AJ3" s="2" t="s">
        <v>170</v>
      </c>
      <c r="AK3" s="2" t="s">
        <v>176</v>
      </c>
    </row>
    <row r="4" spans="1:37" x14ac:dyDescent="0.15">
      <c r="A4" s="6">
        <v>1993</v>
      </c>
      <c r="B4" s="3">
        <f>VLOOKUP('Original INEGI Base 1993-2025'!D6,'Original INEGI Base 1993-2025'!$A$6:$B$160,2,0)</f>
        <v>11.885767377800001</v>
      </c>
      <c r="D4" s="3">
        <f>(($B4/$B$4)*100)</f>
        <v>100</v>
      </c>
      <c r="E4" s="3">
        <f>(($B4/$B$5)*100)</f>
        <v>92.284441778668523</v>
      </c>
      <c r="F4" s="3">
        <f>(($B4/$B$6)*100)</f>
        <v>66.482929253323604</v>
      </c>
      <c r="G4" s="3">
        <f>(($B4/$B$7)*100)</f>
        <v>52.474050566072208</v>
      </c>
      <c r="H4" s="3">
        <f>(($B4/$B$8)*100)</f>
        <v>44.570122665913701</v>
      </c>
      <c r="I4" s="3">
        <f>(($B4/$B$9)*100)</f>
        <v>38.516800884123633</v>
      </c>
      <c r="J4" s="3">
        <f>(($B4/$B$10)*100)</f>
        <v>33.400197467742366</v>
      </c>
      <c r="K4" s="3">
        <f t="shared" ref="K4:K37" si="0">(($B4/$B$11)*100)</f>
        <v>30.172368213324845</v>
      </c>
      <c r="L4" s="3">
        <f t="shared" ref="L4:L30" si="1">(($B4/$B$12)*100)</f>
        <v>28.338044030540509</v>
      </c>
      <c r="M4" s="3">
        <f t="shared" ref="M4:M30" si="2">(($B4/$B$13)*100)</f>
        <v>26.860113526931112</v>
      </c>
      <c r="N4" s="3">
        <f t="shared" ref="N4:N30" si="3">(($B4/$B$14)*100)</f>
        <v>25.757766813468365</v>
      </c>
      <c r="O4" s="3">
        <f t="shared" ref="O4:O30" si="4">(($B4/$B$15)*100)</f>
        <v>23.823877136035996</v>
      </c>
      <c r="P4" s="3">
        <f t="shared" ref="P4:P30" si="5">(($B4/$B$16)*100)</f>
        <v>22.499769578551145</v>
      </c>
      <c r="Q4" s="3">
        <f t="shared" ref="Q4:Q30" si="6">(($B4/$B$17)*100)</f>
        <v>21.204762027857516</v>
      </c>
      <c r="R4" s="3">
        <f t="shared" ref="R4:R30" si="7">(($B4/$B$18)*100)</f>
        <v>19.980404378634923</v>
      </c>
      <c r="S4" s="3">
        <f t="shared" ref="S4:S30" si="8">(($B4/$B$19)*100)</f>
        <v>18.79440565435667</v>
      </c>
      <c r="T4" s="3">
        <f t="shared" ref="T4:T30" si="9">(($B4/$B$20)*100)</f>
        <v>17.858023340335446</v>
      </c>
      <c r="U4" s="3">
        <f t="shared" ref="U4:U30" si="10">(($B4/$B$21)*100)</f>
        <v>17.109817127354596</v>
      </c>
      <c r="V4" s="3">
        <f t="shared" ref="V4:V30" si="11">(($B4/$B$22)*100)</f>
        <v>16.191801306878833</v>
      </c>
      <c r="W4" s="3">
        <f>(($B4/$B$23)*100)</f>
        <v>15.488289892288195</v>
      </c>
      <c r="X4" s="3">
        <f t="shared" ref="X4:X23" si="12">(($B4/$B$24)*100)</f>
        <v>15.228808833465482</v>
      </c>
      <c r="Y4" s="3">
        <f t="shared" ref="Y4:Y24" si="13">(($B4/$B$25)*100)</f>
        <v>14.591402546271448</v>
      </c>
      <c r="Z4" s="3">
        <f t="shared" ref="Z4:Z30" si="14">(($B4/$B$26)*100)</f>
        <v>14.135472910465726</v>
      </c>
      <c r="AA4" s="3">
        <f t="shared" ref="AA4:AA16" si="15">(($B4/$B$27)*100)</f>
        <v>13.325597989886063</v>
      </c>
      <c r="AB4" s="3">
        <f t="shared" ref="AB4:AB30" si="16">(($B4/$B$28)*100)</f>
        <v>12.504362136263655</v>
      </c>
      <c r="AC4" s="3">
        <f t="shared" ref="AC4:AC26" si="17">(($B4/$B$29)*100)</f>
        <v>11.885767377312684</v>
      </c>
      <c r="AD4" s="3">
        <f t="shared" ref="AD4:AD28" si="18">(($B4/$B$30)*100)</f>
        <v>11.393673456331854</v>
      </c>
      <c r="AE4" s="3">
        <f>(($B4/$B$31)*100)</f>
        <v>10.890552774891042</v>
      </c>
      <c r="AF4" s="3">
        <f>(($B4/$B$32)*100)</f>
        <v>10.422781195605928</v>
      </c>
      <c r="AG4" s="3">
        <f t="shared" ref="AG4:AG37" si="19">(($B4/$B$33)*100)</f>
        <v>9.7713589460201096</v>
      </c>
      <c r="AH4" s="3">
        <f>(($B4/$B$34)*100)</f>
        <v>9.3348872677488703</v>
      </c>
      <c r="AI4" s="3">
        <f>(($B4/$B$35)*100)</f>
        <v>8.988399552579299</v>
      </c>
      <c r="AJ4" s="3">
        <f>(($B4/$B$36)*100)</f>
        <v>8.593291951713308</v>
      </c>
      <c r="AK4" s="3">
        <f>(($B4/$B$37)*100)</f>
        <v>8.2787013022286207</v>
      </c>
    </row>
    <row r="5" spans="1:37" x14ac:dyDescent="0.15">
      <c r="A5" s="6">
        <v>1994</v>
      </c>
      <c r="B5" s="3">
        <f>VLOOKUP('Original INEGI Base 1993-2025'!D7,'Original INEGI Base 1993-2025'!$A$6:$B$160,2,0)</f>
        <v>12.879492088499999</v>
      </c>
      <c r="D5" s="3">
        <f t="shared" ref="D5:D37" si="20">(($B5/$B$4)*100)</f>
        <v>108.36062728735595</v>
      </c>
      <c r="E5" s="3">
        <f t="shared" ref="E5:E37" si="21">(($B5/$B$5)*100)</f>
        <v>100</v>
      </c>
      <c r="F5" s="3">
        <f t="shared" ref="F5:F37" si="22">(($B5/$B$6)*100)</f>
        <v>72.041319177910538</v>
      </c>
      <c r="G5" s="3">
        <f t="shared" ref="G5:G37" si="23">(($B5/$B$7)*100)</f>
        <v>56.8612103564802</v>
      </c>
      <c r="H5" s="3">
        <f t="shared" ref="H5:H37" si="24">(($B5/$B$8)*100)</f>
        <v>48.296464503528099</v>
      </c>
      <c r="I5" s="3">
        <f t="shared" ref="I5:I37" si="25">(($B5/$B$9)*100)</f>
        <v>41.737047049058233</v>
      </c>
      <c r="J5" s="3">
        <f t="shared" ref="J5:J37" si="26">(($B5/$B$10)*100)</f>
        <v>36.1926634912612</v>
      </c>
      <c r="K5" s="3">
        <f t="shared" si="0"/>
        <v>32.694967463409597</v>
      </c>
      <c r="L5" s="3">
        <f t="shared" si="1"/>
        <v>30.707282272460823</v>
      </c>
      <c r="M5" s="3">
        <f t="shared" si="2"/>
        <v>29.1057875078785</v>
      </c>
      <c r="N5" s="3">
        <f t="shared" si="3"/>
        <v>27.911277694288717</v>
      </c>
      <c r="O5" s="3">
        <f t="shared" si="4"/>
        <v>25.815702708777579</v>
      </c>
      <c r="P5" s="3">
        <f t="shared" si="5"/>
        <v>24.380891453527706</v>
      </c>
      <c r="Q5" s="3">
        <f t="shared" si="6"/>
        <v>22.977613148177465</v>
      </c>
      <c r="R5" s="3">
        <f t="shared" si="7"/>
        <v>21.650891519239135</v>
      </c>
      <c r="S5" s="3">
        <f t="shared" si="8"/>
        <v>20.365735861991183</v>
      </c>
      <c r="T5" s="3">
        <f t="shared" si="9"/>
        <v>19.351066112709926</v>
      </c>
      <c r="U5" s="3">
        <f t="shared" si="10"/>
        <v>18.540305166920906</v>
      </c>
      <c r="V5" s="3">
        <f t="shared" si="11"/>
        <v>17.545537465256203</v>
      </c>
      <c r="W5" s="3">
        <f t="shared" ref="W5:W30" si="27">(($B5/$B$23)*100)</f>
        <v>16.783208083367633</v>
      </c>
      <c r="X5" s="3">
        <f t="shared" si="12"/>
        <v>16.502032780335472</v>
      </c>
      <c r="Y5" s="3">
        <f t="shared" si="13"/>
        <v>15.81133532916297</v>
      </c>
      <c r="Z5" s="3">
        <f t="shared" si="14"/>
        <v>15.317287115814931</v>
      </c>
      <c r="AA5" s="3">
        <f t="shared" si="15"/>
        <v>14.439701571631833</v>
      </c>
      <c r="AB5" s="3">
        <f t="shared" si="16"/>
        <v>13.54980524913792</v>
      </c>
      <c r="AC5" s="3">
        <f t="shared" si="17"/>
        <v>12.879492087971938</v>
      </c>
      <c r="AD5" s="3">
        <f t="shared" si="18"/>
        <v>12.346256028354167</v>
      </c>
      <c r="AE5" s="3">
        <f t="shared" ref="AE5:AE30" si="28">(($B5/$B$31)*100)</f>
        <v>11.801071301932483</v>
      </c>
      <c r="AF5" s="3">
        <f t="shared" ref="AF5:AF31" si="29">(($B5/$B$32)*100)</f>
        <v>11.294191084347162</v>
      </c>
      <c r="AG5" s="3">
        <f t="shared" si="19"/>
        <v>10.588305848406565</v>
      </c>
      <c r="AH5" s="3">
        <f t="shared" ref="AH5:AH37" si="30">(($B5/$B$34)*100)</f>
        <v>10.115342399900198</v>
      </c>
      <c r="AI5" s="3">
        <f t="shared" ref="AI5:AI37" si="31">(($B5/$B$35)*100)</f>
        <v>9.7398861382688224</v>
      </c>
      <c r="AJ5" s="3">
        <f t="shared" ref="AJ5:AJ37" si="32">(($B5/$B$36)*100)</f>
        <v>9.3117450635104131</v>
      </c>
      <c r="AK5" s="3">
        <f>(($B5/$B$37)*100)</f>
        <v>8.9708526623414393</v>
      </c>
    </row>
    <row r="6" spans="1:37" x14ac:dyDescent="0.15">
      <c r="A6" s="6">
        <v>1995</v>
      </c>
      <c r="B6" s="3">
        <f>VLOOKUP('Original INEGI Base 1993-2025'!D8,'Original INEGI Base 1993-2025'!$A$6:$B$160,2,0)</f>
        <v>17.877923718600002</v>
      </c>
      <c r="D6" s="3">
        <f t="shared" si="20"/>
        <v>150.414551709905</v>
      </c>
      <c r="E6" s="3">
        <f t="shared" si="21"/>
        <v>138.80922939937255</v>
      </c>
      <c r="F6" s="3">
        <f t="shared" si="22"/>
        <v>100</v>
      </c>
      <c r="G6" s="3">
        <f t="shared" si="23"/>
        <v>78.928607922986373</v>
      </c>
      <c r="H6" s="3">
        <f t="shared" si="24"/>
        <v>67.039950204488846</v>
      </c>
      <c r="I6" s="3">
        <f t="shared" si="25"/>
        <v>57.934873382851293</v>
      </c>
      <c r="J6" s="3">
        <f t="shared" si="26"/>
        <v>50.238757291327715</v>
      </c>
      <c r="K6" s="3">
        <f t="shared" si="0"/>
        <v>45.383632388334441</v>
      </c>
      <c r="L6" s="3">
        <f t="shared" si="1"/>
        <v>42.624541891893003</v>
      </c>
      <c r="M6" s="3">
        <f t="shared" si="2"/>
        <v>40.401519350304987</v>
      </c>
      <c r="N6" s="3">
        <f t="shared" si="3"/>
        <v>38.743429482961119</v>
      </c>
      <c r="O6" s="3">
        <f t="shared" si="4"/>
        <v>35.834577994087098</v>
      </c>
      <c r="P6" s="3">
        <f t="shared" si="5"/>
        <v>33.842927547339286</v>
      </c>
      <c r="Q6" s="3">
        <f t="shared" si="6"/>
        <v>31.895047745354045</v>
      </c>
      <c r="R6" s="3">
        <f t="shared" si="7"/>
        <v>30.053435675949945</v>
      </c>
      <c r="S6" s="3">
        <f t="shared" si="8"/>
        <v>28.26952101154162</v>
      </c>
      <c r="T6" s="3">
        <f t="shared" si="9"/>
        <v>26.861065751615765</v>
      </c>
      <c r="U6" s="3">
        <f t="shared" si="10"/>
        <v>25.735654730494961</v>
      </c>
      <c r="V6" s="3">
        <f t="shared" si="11"/>
        <v>24.354825349500338</v>
      </c>
      <c r="W6" s="3">
        <f t="shared" si="27"/>
        <v>23.296641809015817</v>
      </c>
      <c r="X6" s="3">
        <f t="shared" si="12"/>
        <v>22.906344537615521</v>
      </c>
      <c r="Y6" s="3">
        <f t="shared" si="13"/>
        <v>21.947592728161862</v>
      </c>
      <c r="Z6" s="3">
        <f t="shared" si="14"/>
        <v>21.261808210352083</v>
      </c>
      <c r="AA6" s="3">
        <f t="shared" si="15"/>
        <v>20.043638479151234</v>
      </c>
      <c r="AB6" s="3">
        <f t="shared" si="16"/>
        <v>18.808380251444078</v>
      </c>
      <c r="AC6" s="3">
        <f t="shared" si="17"/>
        <v>17.877923717867006</v>
      </c>
      <c r="AD6" s="3">
        <f t="shared" si="18"/>
        <v>17.137742852631998</v>
      </c>
      <c r="AE6" s="3">
        <f t="shared" si="28"/>
        <v>16.380976135082982</v>
      </c>
      <c r="AF6" s="3">
        <f t="shared" si="29"/>
        <v>15.677379611074931</v>
      </c>
      <c r="AG6" s="3">
        <f t="shared" si="19"/>
        <v>14.697545754621846</v>
      </c>
      <c r="AH6" s="3">
        <f t="shared" si="30"/>
        <v>14.041028836409462</v>
      </c>
      <c r="AI6" s="3">
        <f t="shared" si="31"/>
        <v>13.519860892907259</v>
      </c>
      <c r="AJ6" s="3">
        <f t="shared" si="32"/>
        <v>12.925561566292917</v>
      </c>
      <c r="AK6" s="3">
        <f t="shared" ref="AK6:AK37" si="33">(($B6/$B$37)*100)</f>
        <v>12.452371451149247</v>
      </c>
    </row>
    <row r="7" spans="1:37" x14ac:dyDescent="0.15">
      <c r="A7" s="6">
        <v>1996</v>
      </c>
      <c r="B7" s="3">
        <f>VLOOKUP('Original INEGI Base 1993-2025'!D9,'Original INEGI Base 1993-2025'!$A$6:$B$160,2,0)</f>
        <v>22.6507526093</v>
      </c>
      <c r="D7" s="3">
        <f t="shared" si="20"/>
        <v>190.57038464009167</v>
      </c>
      <c r="E7" s="3">
        <f t="shared" si="21"/>
        <v>175.86681566057007</v>
      </c>
      <c r="F7" s="3">
        <f t="shared" si="22"/>
        <v>126.69677399805883</v>
      </c>
      <c r="G7" s="3">
        <f t="shared" si="23"/>
        <v>100</v>
      </c>
      <c r="H7" s="3">
        <f t="shared" si="24"/>
        <v>84.937454198992427</v>
      </c>
      <c r="I7" s="3">
        <f t="shared" si="25"/>
        <v>73.40161559593264</v>
      </c>
      <c r="J7" s="3">
        <f t="shared" si="26"/>
        <v>63.650884784826779</v>
      </c>
      <c r="K7" s="3">
        <f t="shared" si="0"/>
        <v>57.499598159157919</v>
      </c>
      <c r="L7" s="3">
        <f t="shared" si="1"/>
        <v>54.003919508479591</v>
      </c>
      <c r="M7" s="3">
        <f t="shared" si="2"/>
        <v>51.18742166303791</v>
      </c>
      <c r="N7" s="3">
        <f t="shared" si="3"/>
        <v>49.08667529112455</v>
      </c>
      <c r="O7" s="3">
        <f t="shared" si="4"/>
        <v>45.401254294326655</v>
      </c>
      <c r="P7" s="3">
        <f t="shared" si="5"/>
        <v>42.877897428979253</v>
      </c>
      <c r="Q7" s="3">
        <f t="shared" si="6"/>
        <v>40.409996558504169</v>
      </c>
      <c r="R7" s="3">
        <f t="shared" si="7"/>
        <v>38.076733477010286</v>
      </c>
      <c r="S7" s="3">
        <f t="shared" si="8"/>
        <v>35.816571146326645</v>
      </c>
      <c r="T7" s="3">
        <f t="shared" si="9"/>
        <v>34.032103768794606</v>
      </c>
      <c r="U7" s="3">
        <f t="shared" si="10"/>
        <v>32.606244310815939</v>
      </c>
      <c r="V7" s="3">
        <f t="shared" si="11"/>
        <v>30.856778030678388</v>
      </c>
      <c r="W7" s="3">
        <f t="shared" si="27"/>
        <v>29.516093621906052</v>
      </c>
      <c r="X7" s="3">
        <f t="shared" si="12"/>
        <v>29.021599570039431</v>
      </c>
      <c r="Y7" s="3">
        <f t="shared" si="13"/>
        <v>27.806891956813629</v>
      </c>
      <c r="Z7" s="3">
        <f t="shared" si="14"/>
        <v>26.938025096170492</v>
      </c>
      <c r="AA7" s="3">
        <f t="shared" si="15"/>
        <v>25.394643344918194</v>
      </c>
      <c r="AB7" s="3">
        <f t="shared" si="16"/>
        <v>23.829611019867635</v>
      </c>
      <c r="AC7" s="3">
        <f t="shared" si="17"/>
        <v>22.65075260837132</v>
      </c>
      <c r="AD7" s="3">
        <f t="shared" si="18"/>
        <v>21.71296733036764</v>
      </c>
      <c r="AE7" s="3">
        <f t="shared" si="28"/>
        <v>20.754168312542035</v>
      </c>
      <c r="AF7" s="3">
        <f t="shared" si="29"/>
        <v>19.862734214661362</v>
      </c>
      <c r="AG7" s="3">
        <f t="shared" si="19"/>
        <v>18.621316327994535</v>
      </c>
      <c r="AH7" s="3">
        <f t="shared" si="30"/>
        <v>17.789530571867964</v>
      </c>
      <c r="AI7" s="3">
        <f t="shared" si="31"/>
        <v>17.129227600338648</v>
      </c>
      <c r="AJ7" s="3">
        <f t="shared" si="32"/>
        <v>16.376269525626093</v>
      </c>
      <c r="AK7" s="3">
        <f t="shared" si="33"/>
        <v>15.776752914861362</v>
      </c>
    </row>
    <row r="8" spans="1:37" x14ac:dyDescent="0.15">
      <c r="A8" s="6">
        <v>1997</v>
      </c>
      <c r="B8" s="3">
        <f>VLOOKUP('Original INEGI Base 1993-2025'!D10,'Original INEGI Base 1993-2025'!$A$6:$B$160,2,0)</f>
        <v>26.667567120899999</v>
      </c>
      <c r="D8" s="3">
        <f t="shared" si="20"/>
        <v>224.36554808155802</v>
      </c>
      <c r="E8" s="3">
        <f t="shared" si="21"/>
        <v>207.05449359071596</v>
      </c>
      <c r="F8" s="3">
        <f t="shared" si="22"/>
        <v>149.164788599894</v>
      </c>
      <c r="G8" s="3">
        <f t="shared" si="23"/>
        <v>117.73369115316179</v>
      </c>
      <c r="H8" s="3">
        <f t="shared" si="24"/>
        <v>100</v>
      </c>
      <c r="I8" s="3">
        <f t="shared" si="25"/>
        <v>86.418431407146386</v>
      </c>
      <c r="J8" s="3">
        <f t="shared" si="26"/>
        <v>74.938536108822817</v>
      </c>
      <c r="K8" s="3">
        <f t="shared" si="0"/>
        <v>67.696399311012087</v>
      </c>
      <c r="L8" s="3">
        <f t="shared" si="1"/>
        <v>63.580807804715455</v>
      </c>
      <c r="M8" s="3">
        <f t="shared" si="2"/>
        <v>60.264840930027695</v>
      </c>
      <c r="N8" s="3">
        <f t="shared" si="3"/>
        <v>57.791554684607959</v>
      </c>
      <c r="O8" s="3">
        <f t="shared" si="4"/>
        <v>53.452572510544151</v>
      </c>
      <c r="P8" s="3">
        <f t="shared" si="5"/>
        <v>50.481731332003932</v>
      </c>
      <c r="Q8" s="3">
        <f t="shared" si="6"/>
        <v>47.576180543192613</v>
      </c>
      <c r="R8" s="3">
        <f t="shared" si="7"/>
        <v>44.829143793035861</v>
      </c>
      <c r="S8" s="3">
        <f t="shared" si="8"/>
        <v>42.168171255068678</v>
      </c>
      <c r="T8" s="3">
        <f t="shared" si="9"/>
        <v>40.067251944076183</v>
      </c>
      <c r="U8" s="3">
        <f t="shared" si="10"/>
        <v>38.388534973541425</v>
      </c>
      <c r="V8" s="3">
        <f t="shared" si="11"/>
        <v>36.328823746455576</v>
      </c>
      <c r="W8" s="3">
        <f t="shared" si="27"/>
        <v>34.750386505292965</v>
      </c>
      <c r="X8" s="3">
        <f t="shared" si="12"/>
        <v>34.168200405497558</v>
      </c>
      <c r="Y8" s="3">
        <f t="shared" si="13"/>
        <v>32.738080295728352</v>
      </c>
      <c r="Z8" s="3">
        <f t="shared" si="14"/>
        <v>31.715131269486584</v>
      </c>
      <c r="AA8" s="3">
        <f t="shared" si="15"/>
        <v>29.898050965152944</v>
      </c>
      <c r="AB8" s="3">
        <f t="shared" si="16"/>
        <v>28.055480641130771</v>
      </c>
      <c r="AC8" s="3">
        <f t="shared" si="17"/>
        <v>26.66756711980663</v>
      </c>
      <c r="AD8" s="3">
        <f t="shared" si="18"/>
        <v>25.56347789692196</v>
      </c>
      <c r="AE8" s="3">
        <f t="shared" si="28"/>
        <v>24.434648422495613</v>
      </c>
      <c r="AF8" s="3">
        <f t="shared" si="29"/>
        <v>23.385130154862807</v>
      </c>
      <c r="AG8" s="3">
        <f t="shared" si="19"/>
        <v>21.923563054254373</v>
      </c>
      <c r="AH8" s="3">
        <f t="shared" si="30"/>
        <v>20.944270981080329</v>
      </c>
      <c r="AI8" s="3">
        <f t="shared" si="31"/>
        <v>20.166871919904853</v>
      </c>
      <c r="AJ8" s="3">
        <f t="shared" si="32"/>
        <v>19.280386585709977</v>
      </c>
      <c r="AK8" s="3">
        <f t="shared" si="33"/>
        <v>18.574553550780326</v>
      </c>
    </row>
    <row r="9" spans="1:37" x14ac:dyDescent="0.15">
      <c r="A9" s="6">
        <v>1998</v>
      </c>
      <c r="B9" s="3">
        <f>VLOOKUP('Original INEGI Base 1993-2025'!D11,'Original INEGI Base 1993-2025'!$A$6:$B$160,2,0)</f>
        <v>30.8586567549</v>
      </c>
      <c r="D9" s="3">
        <f t="shared" si="20"/>
        <v>259.62696201287923</v>
      </c>
      <c r="E9" s="3">
        <f t="shared" si="21"/>
        <v>239.59529260050138</v>
      </c>
      <c r="F9" s="3">
        <f t="shared" si="22"/>
        <v>172.60760947757586</v>
      </c>
      <c r="G9" s="3">
        <f t="shared" si="23"/>
        <v>136.23678332979532</v>
      </c>
      <c r="H9" s="3">
        <f t="shared" si="24"/>
        <v>115.71605544292545</v>
      </c>
      <c r="I9" s="3">
        <f t="shared" si="25"/>
        <v>100</v>
      </c>
      <c r="J9" s="3">
        <f t="shared" si="26"/>
        <v>86.715917991802115</v>
      </c>
      <c r="K9" s="3">
        <f t="shared" si="0"/>
        <v>78.335602959594951</v>
      </c>
      <c r="L9" s="3">
        <f t="shared" si="1"/>
        <v>73.573202810364407</v>
      </c>
      <c r="M9" s="3">
        <f t="shared" si="2"/>
        <v>69.736096743181676</v>
      </c>
      <c r="N9" s="3">
        <f t="shared" si="3"/>
        <v>66.874107460169526</v>
      </c>
      <c r="O9" s="3">
        <f t="shared" si="4"/>
        <v>61.853208441971198</v>
      </c>
      <c r="P9" s="3">
        <f t="shared" si="5"/>
        <v>58.415468216690336</v>
      </c>
      <c r="Q9" s="3">
        <f t="shared" si="6"/>
        <v>55.05327945498707</v>
      </c>
      <c r="R9" s="3">
        <f t="shared" si="7"/>
        <v>51.874516886138146</v>
      </c>
      <c r="S9" s="3">
        <f t="shared" si="8"/>
        <v>48.795344428783018</v>
      </c>
      <c r="T9" s="3">
        <f t="shared" si="9"/>
        <v>46.364243474063812</v>
      </c>
      <c r="U9" s="3">
        <f t="shared" si="10"/>
        <v>44.421698413710018</v>
      </c>
      <c r="V9" s="3">
        <f t="shared" si="11"/>
        <v>42.038281828211197</v>
      </c>
      <c r="W9" s="3">
        <f t="shared" si="27"/>
        <v>40.211776515095686</v>
      </c>
      <c r="X9" s="3">
        <f t="shared" si="12"/>
        <v>39.538093725075427</v>
      </c>
      <c r="Y9" s="3">
        <f t="shared" si="13"/>
        <v>37.883215145954466</v>
      </c>
      <c r="Z9" s="3">
        <f t="shared" si="14"/>
        <v>36.69949888359568</v>
      </c>
      <c r="AA9" s="3">
        <f t="shared" si="15"/>
        <v>34.596845231190485</v>
      </c>
      <c r="AB9" s="3">
        <f t="shared" si="16"/>
        <v>32.464695533470092</v>
      </c>
      <c r="AC9" s="3">
        <f t="shared" si="17"/>
        <v>30.858656753634794</v>
      </c>
      <c r="AD9" s="3">
        <f t="shared" si="18"/>
        <v>29.581048256342207</v>
      </c>
      <c r="AE9" s="3">
        <f t="shared" si="28"/>
        <v>28.274811315858926</v>
      </c>
      <c r="AF9" s="3">
        <f t="shared" si="29"/>
        <v>27.060350175401322</v>
      </c>
      <c r="AG9" s="3">
        <f t="shared" si="19"/>
        <v>25.369082378925711</v>
      </c>
      <c r="AH9" s="3">
        <f t="shared" si="30"/>
        <v>24.235884220583458</v>
      </c>
      <c r="AI9" s="3">
        <f t="shared" si="31"/>
        <v>23.336308691940864</v>
      </c>
      <c r="AJ9" s="3">
        <f t="shared" si="32"/>
        <v>22.31050283113052</v>
      </c>
      <c r="AK9" s="3">
        <f t="shared" si="33"/>
        <v>21.493740685096839</v>
      </c>
    </row>
    <row r="10" spans="1:37" x14ac:dyDescent="0.15">
      <c r="A10" s="6">
        <v>1999</v>
      </c>
      <c r="B10" s="3">
        <f>VLOOKUP('Original INEGI Base 1993-2025'!D12,'Original INEGI Base 1993-2025'!$A$6:$B$160,2,0)</f>
        <v>35.5859194823</v>
      </c>
      <c r="D10" s="3">
        <f t="shared" si="20"/>
        <v>299.39942749314332</v>
      </c>
      <c r="E10" s="3">
        <f t="shared" si="21"/>
        <v>276.29909035057676</v>
      </c>
      <c r="F10" s="3">
        <f t="shared" si="22"/>
        <v>199.04950956512241</v>
      </c>
      <c r="G10" s="3">
        <f t="shared" si="23"/>
        <v>157.10700697728274</v>
      </c>
      <c r="H10" s="3">
        <f t="shared" si="24"/>
        <v>133.44269209473737</v>
      </c>
      <c r="I10" s="3">
        <f t="shared" si="25"/>
        <v>115.31908133574014</v>
      </c>
      <c r="J10" s="3">
        <f t="shared" si="26"/>
        <v>100</v>
      </c>
      <c r="K10" s="3">
        <f t="shared" si="0"/>
        <v>90.335897691817763</v>
      </c>
      <c r="L10" s="3">
        <f t="shared" si="1"/>
        <v>84.843941590193168</v>
      </c>
      <c r="M10" s="3">
        <f t="shared" si="2"/>
        <v>80.419026123640108</v>
      </c>
      <c r="N10" s="3">
        <f t="shared" si="3"/>
        <v>77.118606374543148</v>
      </c>
      <c r="O10" s="3">
        <f t="shared" si="4"/>
        <v>71.328551751961655</v>
      </c>
      <c r="P10" s="3">
        <f t="shared" si="5"/>
        <v>67.364181305458558</v>
      </c>
      <c r="Q10" s="3">
        <f t="shared" si="6"/>
        <v>63.486936112688852</v>
      </c>
      <c r="R10" s="3">
        <f t="shared" si="7"/>
        <v>59.821216320447903</v>
      </c>
      <c r="S10" s="3">
        <f t="shared" si="8"/>
        <v>56.27034292988283</v>
      </c>
      <c r="T10" s="3">
        <f t="shared" si="9"/>
        <v>53.466819642556239</v>
      </c>
      <c r="U10" s="3">
        <f t="shared" si="10"/>
        <v>51.226694524423444</v>
      </c>
      <c r="V10" s="3">
        <f t="shared" si="11"/>
        <v>48.478160413622533</v>
      </c>
      <c r="W10" s="3">
        <f t="shared" si="27"/>
        <v>46.371851265989243</v>
      </c>
      <c r="X10" s="3">
        <f t="shared" si="12"/>
        <v>45.594966461420903</v>
      </c>
      <c r="Y10" s="3">
        <f t="shared" si="13"/>
        <v>43.686575686756662</v>
      </c>
      <c r="Z10" s="3">
        <f t="shared" si="14"/>
        <v>42.32152496738275</v>
      </c>
      <c r="AA10" s="3">
        <f t="shared" si="15"/>
        <v>39.896764091756694</v>
      </c>
      <c r="AB10" s="3">
        <f t="shared" si="16"/>
        <v>37.437988647642776</v>
      </c>
      <c r="AC10" s="3">
        <f t="shared" si="17"/>
        <v>35.585919480840978</v>
      </c>
      <c r="AD10" s="3">
        <f t="shared" si="18"/>
        <v>34.112593098695811</v>
      </c>
      <c r="AE10" s="3">
        <f t="shared" si="28"/>
        <v>32.606252658862417</v>
      </c>
      <c r="AF10" s="3">
        <f t="shared" si="29"/>
        <v>31.205747228507153</v>
      </c>
      <c r="AG10" s="3">
        <f t="shared" si="19"/>
        <v>29.255392742684261</v>
      </c>
      <c r="AH10" s="3">
        <f t="shared" si="30"/>
        <v>27.94859903677045</v>
      </c>
      <c r="AI10" s="3">
        <f t="shared" si="31"/>
        <v>26.911216801218679</v>
      </c>
      <c r="AJ10" s="3">
        <f t="shared" si="32"/>
        <v>25.728266906244006</v>
      </c>
      <c r="AK10" s="3">
        <f t="shared" si="33"/>
        <v>24.786384302739894</v>
      </c>
    </row>
    <row r="11" spans="1:37" x14ac:dyDescent="0.15">
      <c r="A11" s="6">
        <v>2000</v>
      </c>
      <c r="B11" s="3">
        <f>VLOOKUP('Original INEGI Base 1993-2025'!D13,'Original INEGI Base 1993-2025'!$A$6:$B$160,2,0)</f>
        <v>39.392888532199997</v>
      </c>
      <c r="D11" s="3">
        <f t="shared" si="20"/>
        <v>331.4290720999407</v>
      </c>
      <c r="E11" s="3">
        <f t="shared" si="21"/>
        <v>305.85746907965114</v>
      </c>
      <c r="F11" s="3">
        <f t="shared" si="22"/>
        <v>220.34375552915049</v>
      </c>
      <c r="G11" s="3">
        <f t="shared" si="23"/>
        <v>173.91425888438678</v>
      </c>
      <c r="H11" s="3">
        <f t="shared" si="24"/>
        <v>147.71834398544314</v>
      </c>
      <c r="I11" s="3">
        <f t="shared" si="25"/>
        <v>127.65587577283273</v>
      </c>
      <c r="J11" s="3">
        <f t="shared" si="26"/>
        <v>110.69796454688641</v>
      </c>
      <c r="K11" s="3">
        <f t="shared" si="0"/>
        <v>100</v>
      </c>
      <c r="L11" s="3">
        <f t="shared" si="1"/>
        <v>93.920516381693048</v>
      </c>
      <c r="M11" s="3">
        <f t="shared" si="2"/>
        <v>89.022225027298447</v>
      </c>
      <c r="N11" s="3">
        <f t="shared" si="3"/>
        <v>85.368727543544665</v>
      </c>
      <c r="O11" s="3">
        <f t="shared" si="4"/>
        <v>78.959254930194035</v>
      </c>
      <c r="P11" s="3">
        <f t="shared" si="5"/>
        <v>74.570777538816799</v>
      </c>
      <c r="Q11" s="3">
        <f t="shared" si="6"/>
        <v>70.278746029928726</v>
      </c>
      <c r="R11" s="3">
        <f t="shared" si="7"/>
        <v>66.220868833925635</v>
      </c>
      <c r="S11" s="3">
        <f t="shared" si="8"/>
        <v>62.290124266933098</v>
      </c>
      <c r="T11" s="3">
        <f t="shared" si="9"/>
        <v>59.186681052264611</v>
      </c>
      <c r="U11" s="3">
        <f t="shared" si="10"/>
        <v>56.706908143188073</v>
      </c>
      <c r="V11" s="3">
        <f t="shared" si="11"/>
        <v>53.664336827654601</v>
      </c>
      <c r="W11" s="3">
        <f t="shared" si="27"/>
        <v>51.332695474159671</v>
      </c>
      <c r="X11" s="3">
        <f t="shared" si="12"/>
        <v>50.472699808628448</v>
      </c>
      <c r="Y11" s="3">
        <f t="shared" si="13"/>
        <v>48.360150065474585</v>
      </c>
      <c r="Z11" s="3">
        <f t="shared" si="14"/>
        <v>46.849066704095037</v>
      </c>
      <c r="AA11" s="3">
        <f t="shared" si="15"/>
        <v>44.164905769647724</v>
      </c>
      <c r="AB11" s="3">
        <f t="shared" si="16"/>
        <v>41.443091400234962</v>
      </c>
      <c r="AC11" s="3">
        <f t="shared" si="17"/>
        <v>39.392888530584884</v>
      </c>
      <c r="AD11" s="3">
        <f t="shared" si="18"/>
        <v>37.761946214417904</v>
      </c>
      <c r="AE11" s="3">
        <f t="shared" si="28"/>
        <v>36.094458008375724</v>
      </c>
      <c r="AF11" s="3">
        <f t="shared" si="29"/>
        <v>34.544127003603833</v>
      </c>
      <c r="AG11" s="3">
        <f t="shared" si="19"/>
        <v>32.385124286348997</v>
      </c>
      <c r="AH11" s="3">
        <f t="shared" si="30"/>
        <v>30.938530253075587</v>
      </c>
      <c r="AI11" s="3">
        <f t="shared" si="31"/>
        <v>29.790169233748792</v>
      </c>
      <c r="AJ11" s="3">
        <f t="shared" si="32"/>
        <v>28.480667778402303</v>
      </c>
      <c r="AK11" s="3">
        <f t="shared" si="33"/>
        <v>27.438022907902027</v>
      </c>
    </row>
    <row r="12" spans="1:37" x14ac:dyDescent="0.15">
      <c r="A12" s="6">
        <v>2001</v>
      </c>
      <c r="B12" s="3">
        <f>VLOOKUP('Original INEGI Base 1993-2025'!D14,'Original INEGI Base 1993-2025'!$A$6:$B$160,2,0)</f>
        <v>41.942793811000001</v>
      </c>
      <c r="D12" s="3">
        <f t="shared" si="20"/>
        <v>352.88250625988115</v>
      </c>
      <c r="E12" s="3">
        <f t="shared" si="21"/>
        <v>325.65565103650636</v>
      </c>
      <c r="F12" s="3">
        <f t="shared" si="22"/>
        <v>234.60662698411204</v>
      </c>
      <c r="G12" s="3">
        <f t="shared" si="23"/>
        <v>185.17174477363295</v>
      </c>
      <c r="H12" s="3">
        <f t="shared" si="24"/>
        <v>157.28016590657964</v>
      </c>
      <c r="I12" s="3">
        <f t="shared" si="25"/>
        <v>135.91905229102355</v>
      </c>
      <c r="J12" s="3">
        <f t="shared" si="26"/>
        <v>117.86345391991861</v>
      </c>
      <c r="K12" s="3">
        <f t="shared" si="0"/>
        <v>106.47300914914044</v>
      </c>
      <c r="L12" s="3">
        <f t="shared" si="1"/>
        <v>100</v>
      </c>
      <c r="M12" s="3">
        <f t="shared" si="2"/>
        <v>94.784641798083868</v>
      </c>
      <c r="N12" s="3">
        <f t="shared" si="3"/>
        <v>90.894653087943098</v>
      </c>
      <c r="O12" s="3">
        <f t="shared" si="4"/>
        <v>84.070294725918629</v>
      </c>
      <c r="P12" s="3">
        <f t="shared" si="5"/>
        <v>79.397750791489585</v>
      </c>
      <c r="Q12" s="3">
        <f t="shared" si="6"/>
        <v>74.827895690347205</v>
      </c>
      <c r="R12" s="3">
        <f t="shared" si="7"/>
        <v>70.507351732185953</v>
      </c>
      <c r="S12" s="3">
        <f t="shared" si="8"/>
        <v>66.322169709742639</v>
      </c>
      <c r="T12" s="3">
        <f t="shared" si="9"/>
        <v>63.017840331850273</v>
      </c>
      <c r="U12" s="3">
        <f t="shared" si="10"/>
        <v>60.377551495491296</v>
      </c>
      <c r="V12" s="3">
        <f t="shared" si="11"/>
        <v>57.138034260334223</v>
      </c>
      <c r="W12" s="3">
        <f t="shared" si="27"/>
        <v>54.655465548702431</v>
      </c>
      <c r="X12" s="3">
        <f t="shared" si="12"/>
        <v>53.73980228505917</v>
      </c>
      <c r="Y12" s="3">
        <f t="shared" si="13"/>
        <v>51.490507003750807</v>
      </c>
      <c r="Z12" s="3">
        <f t="shared" si="14"/>
        <v>49.881611078138022</v>
      </c>
      <c r="AA12" s="3">
        <f t="shared" si="15"/>
        <v>47.023704160826284</v>
      </c>
      <c r="AB12" s="3">
        <f t="shared" si="16"/>
        <v>44.125706498258808</v>
      </c>
      <c r="AC12" s="3">
        <f t="shared" si="17"/>
        <v>41.942793809280346</v>
      </c>
      <c r="AD12" s="3">
        <f t="shared" si="18"/>
        <v>40.206280447770673</v>
      </c>
      <c r="AE12" s="3">
        <f t="shared" si="28"/>
        <v>38.430855577590542</v>
      </c>
      <c r="AF12" s="3">
        <f t="shared" si="29"/>
        <v>36.780171505037806</v>
      </c>
      <c r="AG12" s="3">
        <f t="shared" si="19"/>
        <v>34.481416344364874</v>
      </c>
      <c r="AH12" s="3">
        <f t="shared" si="30"/>
        <v>32.941184146966755</v>
      </c>
      <c r="AI12" s="3">
        <f t="shared" si="31"/>
        <v>31.718489613793778</v>
      </c>
      <c r="AJ12" s="3">
        <f t="shared" si="32"/>
        <v>30.32422400943458</v>
      </c>
      <c r="AK12" s="3">
        <f t="shared" si="33"/>
        <v>29.214088641073776</v>
      </c>
    </row>
    <row r="13" spans="1:37" x14ac:dyDescent="0.15">
      <c r="A13" s="6">
        <v>2002</v>
      </c>
      <c r="B13" s="3">
        <f>VLOOKUP('Original INEGI Base 1993-2025'!D15,'Original INEGI Base 1993-2025'!$A$6:$B$160,2,0)</f>
        <v>44.250622268900003</v>
      </c>
      <c r="D13" s="3">
        <f t="shared" si="20"/>
        <v>372.29924549550276</v>
      </c>
      <c r="E13" s="3">
        <f t="shared" si="21"/>
        <v>343.5742804517194</v>
      </c>
      <c r="F13" s="3">
        <f t="shared" si="22"/>
        <v>247.51544399343265</v>
      </c>
      <c r="G13" s="3">
        <f t="shared" si="23"/>
        <v>195.36049433841541</v>
      </c>
      <c r="H13" s="3">
        <f t="shared" si="24"/>
        <v>165.93423040161676</v>
      </c>
      <c r="I13" s="3">
        <f t="shared" si="25"/>
        <v>143.39775908059741</v>
      </c>
      <c r="J13" s="3">
        <f t="shared" si="26"/>
        <v>124.34868316641283</v>
      </c>
      <c r="K13" s="3">
        <f t="shared" si="0"/>
        <v>112.33149920633329</v>
      </c>
      <c r="L13" s="3">
        <f t="shared" si="1"/>
        <v>105.50232411388566</v>
      </c>
      <c r="M13" s="3">
        <f t="shared" si="2"/>
        <v>100</v>
      </c>
      <c r="N13" s="3">
        <f t="shared" si="3"/>
        <v>95.895971503033721</v>
      </c>
      <c r="O13" s="3">
        <f t="shared" si="4"/>
        <v>88.696114825237601</v>
      </c>
      <c r="P13" s="3">
        <f t="shared" si="5"/>
        <v>83.766472379172569</v>
      </c>
      <c r="Q13" s="3">
        <f t="shared" si="6"/>
        <v>78.9451690388304</v>
      </c>
      <c r="R13" s="3">
        <f t="shared" si="7"/>
        <v>74.386894748608199</v>
      </c>
      <c r="S13" s="3">
        <f t="shared" si="8"/>
        <v>69.971430446533986</v>
      </c>
      <c r="T13" s="3">
        <f t="shared" si="9"/>
        <v>66.485286156479646</v>
      </c>
      <c r="U13" s="3">
        <f t="shared" si="10"/>
        <v>63.699720070801455</v>
      </c>
      <c r="V13" s="3">
        <f t="shared" si="11"/>
        <v>60.281954097640856</v>
      </c>
      <c r="W13" s="3">
        <f t="shared" si="27"/>
        <v>57.662786409145163</v>
      </c>
      <c r="X13" s="3">
        <f t="shared" si="12"/>
        <v>56.696740384944469</v>
      </c>
      <c r="Y13" s="3">
        <f t="shared" si="13"/>
        <v>54.323681586980179</v>
      </c>
      <c r="Z13" s="3">
        <f t="shared" si="14"/>
        <v>52.626258992885077</v>
      </c>
      <c r="AA13" s="3">
        <f t="shared" si="15"/>
        <v>49.611100774109687</v>
      </c>
      <c r="AB13" s="3">
        <f t="shared" si="16"/>
        <v>46.553645887334916</v>
      </c>
      <c r="AC13" s="3">
        <f t="shared" si="17"/>
        <v>44.250622267085724</v>
      </c>
      <c r="AD13" s="3">
        <f t="shared" si="18"/>
        <v>42.418560312144862</v>
      </c>
      <c r="AE13" s="3">
        <f t="shared" si="28"/>
        <v>40.545445811208886</v>
      </c>
      <c r="AF13" s="3">
        <f t="shared" si="29"/>
        <v>38.803935750888009</v>
      </c>
      <c r="AG13" s="3">
        <f t="shared" si="19"/>
        <v>36.378695630690174</v>
      </c>
      <c r="AH13" s="3">
        <f t="shared" si="30"/>
        <v>34.753714865684792</v>
      </c>
      <c r="AI13" s="3">
        <f t="shared" si="31"/>
        <v>33.46374371637387</v>
      </c>
      <c r="AJ13" s="3">
        <f t="shared" si="32"/>
        <v>31.992761099454409</v>
      </c>
      <c r="AK13" s="3">
        <f t="shared" si="33"/>
        <v>30.821542485023514</v>
      </c>
    </row>
    <row r="14" spans="1:37" x14ac:dyDescent="0.15">
      <c r="A14" s="7">
        <v>2003</v>
      </c>
      <c r="B14" s="3">
        <f>VLOOKUP('Original INEGI Base 1993-2025'!D16,'Original INEGI Base 1993-2025'!$A$6:$B$160,2,0)</f>
        <v>46.144401662900002</v>
      </c>
      <c r="D14" s="3">
        <f t="shared" si="20"/>
        <v>388.2324144176639</v>
      </c>
      <c r="E14" s="3">
        <f t="shared" si="21"/>
        <v>358.27811644918819</v>
      </c>
      <c r="F14" s="3">
        <f t="shared" si="22"/>
        <v>258.10828141576565</v>
      </c>
      <c r="G14" s="3">
        <f t="shared" si="23"/>
        <v>203.72127345540795</v>
      </c>
      <c r="H14" s="3">
        <f t="shared" si="24"/>
        <v>173.03566333479122</v>
      </c>
      <c r="I14" s="3">
        <f t="shared" si="25"/>
        <v>149.53470602887731</v>
      </c>
      <c r="J14" s="3">
        <f t="shared" si="26"/>
        <v>129.6703930492836</v>
      </c>
      <c r="K14" s="3">
        <f t="shared" si="0"/>
        <v>117.13891360157882</v>
      </c>
      <c r="L14" s="3">
        <f t="shared" si="1"/>
        <v>110.01747253850812</v>
      </c>
      <c r="M14" s="3">
        <f t="shared" si="2"/>
        <v>104.27966726093018</v>
      </c>
      <c r="N14" s="3">
        <f t="shared" si="3"/>
        <v>100</v>
      </c>
      <c r="O14" s="3">
        <f t="shared" si="4"/>
        <v>92.492013413130351</v>
      </c>
      <c r="P14" s="3">
        <f t="shared" si="5"/>
        <v>87.351398673220146</v>
      </c>
      <c r="Q14" s="3">
        <f t="shared" si="6"/>
        <v>82.323759592271216</v>
      </c>
      <c r="R14" s="3">
        <f t="shared" si="7"/>
        <v>77.570406329586987</v>
      </c>
      <c r="S14" s="3">
        <f t="shared" si="8"/>
        <v>72.965974847358837</v>
      </c>
      <c r="T14" s="3">
        <f t="shared" si="9"/>
        <v>69.330635181454255</v>
      </c>
      <c r="U14" s="3">
        <f t="shared" si="10"/>
        <v>66.425856135975721</v>
      </c>
      <c r="V14" s="3">
        <f t="shared" si="11"/>
        <v>62.861821151406559</v>
      </c>
      <c r="W14" s="3">
        <f t="shared" si="27"/>
        <v>60.130561800837455</v>
      </c>
      <c r="X14" s="3">
        <f t="shared" si="12"/>
        <v>59.123172221213515</v>
      </c>
      <c r="Y14" s="3">
        <f t="shared" si="13"/>
        <v>56.648554402790133</v>
      </c>
      <c r="Z14" s="3">
        <f t="shared" si="14"/>
        <v>54.878487769655912</v>
      </c>
      <c r="AA14" s="3">
        <f t="shared" si="15"/>
        <v>51.734290811726346</v>
      </c>
      <c r="AB14" s="3">
        <f t="shared" si="16"/>
        <v>48.54598702914457</v>
      </c>
      <c r="AC14" s="3">
        <f t="shared" si="17"/>
        <v>46.144401661008075</v>
      </c>
      <c r="AD14" s="3">
        <f t="shared" si="18"/>
        <v>44.233933550381657</v>
      </c>
      <c r="AE14" s="3">
        <f t="shared" si="28"/>
        <v>42.28065598138938</v>
      </c>
      <c r="AF14" s="3">
        <f t="shared" si="29"/>
        <v>40.464615085171154</v>
      </c>
      <c r="AG14" s="3">
        <f t="shared" si="19"/>
        <v>37.935582757550272</v>
      </c>
      <c r="AH14" s="3">
        <f t="shared" si="30"/>
        <v>36.241058222748535</v>
      </c>
      <c r="AI14" s="3">
        <f t="shared" si="31"/>
        <v>34.895880600485107</v>
      </c>
      <c r="AJ14" s="3">
        <f t="shared" si="32"/>
        <v>33.361944822095367</v>
      </c>
      <c r="AK14" s="3">
        <f t="shared" si="33"/>
        <v>32.140601948068756</v>
      </c>
    </row>
    <row r="15" spans="1:37" x14ac:dyDescent="0.15">
      <c r="A15" s="6">
        <v>2004</v>
      </c>
      <c r="B15" s="3">
        <f>VLOOKUP('Original INEGI Base 1993-2025'!D17,'Original INEGI Base 1993-2025'!$A$6:$B$160,2,0)</f>
        <v>49.890147224700002</v>
      </c>
      <c r="D15" s="3">
        <f t="shared" si="20"/>
        <v>419.74695986296871</v>
      </c>
      <c r="E15" s="3">
        <f t="shared" si="21"/>
        <v>387.3611387924725</v>
      </c>
      <c r="F15" s="3">
        <f t="shared" si="22"/>
        <v>279.06007436867412</v>
      </c>
      <c r="G15" s="3">
        <f t="shared" si="23"/>
        <v>220.25823196804501</v>
      </c>
      <c r="H15" s="3">
        <f t="shared" si="24"/>
        <v>187.08173489736873</v>
      </c>
      <c r="I15" s="3">
        <f t="shared" si="25"/>
        <v>161.673100747582</v>
      </c>
      <c r="J15" s="3">
        <f t="shared" si="26"/>
        <v>140.19631345907683</v>
      </c>
      <c r="K15" s="3">
        <f t="shared" si="0"/>
        <v>126.64759829409178</v>
      </c>
      <c r="L15" s="3">
        <f t="shared" si="1"/>
        <v>118.94807830282328</v>
      </c>
      <c r="M15" s="3">
        <f t="shared" si="2"/>
        <v>112.74450994503538</v>
      </c>
      <c r="N15" s="3">
        <f t="shared" si="3"/>
        <v>108.11744312812614</v>
      </c>
      <c r="O15" s="3">
        <f t="shared" si="4"/>
        <v>100</v>
      </c>
      <c r="P15" s="3">
        <f t="shared" si="5"/>
        <v>94.442098782141528</v>
      </c>
      <c r="Q15" s="3">
        <f t="shared" si="6"/>
        <v>89.006343958109127</v>
      </c>
      <c r="R15" s="3">
        <f t="shared" si="7"/>
        <v>83.867139947647573</v>
      </c>
      <c r="S15" s="3">
        <f t="shared" si="8"/>
        <v>78.888946358476019</v>
      </c>
      <c r="T15" s="3">
        <f t="shared" si="9"/>
        <v>74.958510062677419</v>
      </c>
      <c r="U15" s="3">
        <f t="shared" si="10"/>
        <v>71.817937230184441</v>
      </c>
      <c r="V15" s="3">
        <f t="shared" si="11"/>
        <v>67.964593732676349</v>
      </c>
      <c r="W15" s="3">
        <f t="shared" si="27"/>
        <v>65.011625957643176</v>
      </c>
      <c r="X15" s="3">
        <f t="shared" si="12"/>
        <v>63.922462101814602</v>
      </c>
      <c r="Y15" s="3">
        <f t="shared" si="13"/>
        <v>61.246968589342224</v>
      </c>
      <c r="Z15" s="3">
        <f t="shared" si="14"/>
        <v>59.333217803933394</v>
      </c>
      <c r="AA15" s="3">
        <f t="shared" si="15"/>
        <v>55.933792446107624</v>
      </c>
      <c r="AB15" s="3">
        <f t="shared" si="16"/>
        <v>52.486679917222865</v>
      </c>
      <c r="AC15" s="3">
        <f t="shared" si="17"/>
        <v>49.890147222654505</v>
      </c>
      <c r="AD15" s="3">
        <f t="shared" si="18"/>
        <v>47.824597949666995</v>
      </c>
      <c r="AE15" s="3">
        <f t="shared" si="28"/>
        <v>45.712764184877329</v>
      </c>
      <c r="AF15" s="3">
        <f t="shared" si="29"/>
        <v>43.749307201725067</v>
      </c>
      <c r="AG15" s="3">
        <f t="shared" si="19"/>
        <v>41.014982113217641</v>
      </c>
      <c r="AH15" s="3">
        <f t="shared" si="30"/>
        <v>39.182905513011228</v>
      </c>
      <c r="AI15" s="3">
        <f t="shared" si="31"/>
        <v>37.728533862288288</v>
      </c>
      <c r="AJ15" s="3">
        <f t="shared" si="32"/>
        <v>36.070081719465783</v>
      </c>
      <c r="AK15" s="3">
        <f t="shared" si="33"/>
        <v>34.749597032240636</v>
      </c>
    </row>
    <row r="16" spans="1:37" x14ac:dyDescent="0.15">
      <c r="A16" s="6">
        <v>2005</v>
      </c>
      <c r="B16" s="3">
        <f>VLOOKUP('Original INEGI Base 1993-2025'!D18,'Original INEGI Base 1993-2025'!$A$6:$B$160,2,0)</f>
        <v>52.826173780600001</v>
      </c>
      <c r="D16" s="3">
        <f t="shared" si="20"/>
        <v>444.44899602584911</v>
      </c>
      <c r="E16" s="3">
        <f t="shared" si="21"/>
        <v>410.15727497335155</v>
      </c>
      <c r="F16" s="3">
        <f t="shared" si="22"/>
        <v>295.48271159497233</v>
      </c>
      <c r="G16" s="3">
        <f t="shared" si="23"/>
        <v>233.22039091500432</v>
      </c>
      <c r="H16" s="3">
        <f t="shared" si="24"/>
        <v>198.09146271614287</v>
      </c>
      <c r="I16" s="3">
        <f t="shared" si="25"/>
        <v>171.18753483076287</v>
      </c>
      <c r="J16" s="3">
        <f t="shared" si="26"/>
        <v>148.44684231603202</v>
      </c>
      <c r="K16" s="3">
        <f t="shared" si="0"/>
        <v>134.10078760134471</v>
      </c>
      <c r="L16" s="3">
        <f t="shared" si="1"/>
        <v>125.94815218710038</v>
      </c>
      <c r="M16" s="3">
        <f t="shared" si="2"/>
        <v>119.37950490184863</v>
      </c>
      <c r="N16" s="3">
        <f t="shared" si="3"/>
        <v>114.48013600113951</v>
      </c>
      <c r="O16" s="3">
        <f t="shared" si="4"/>
        <v>105.88498274554381</v>
      </c>
      <c r="P16" s="3">
        <f t="shared" si="5"/>
        <v>100</v>
      </c>
      <c r="Q16" s="3">
        <f t="shared" si="6"/>
        <v>94.24435194248322</v>
      </c>
      <c r="R16" s="3">
        <f t="shared" si="7"/>
        <v>88.80270666274771</v>
      </c>
      <c r="S16" s="3">
        <f t="shared" si="8"/>
        <v>83.531547239813648</v>
      </c>
      <c r="T16" s="3">
        <f t="shared" si="9"/>
        <v>79.36980544618271</v>
      </c>
      <c r="U16" s="3">
        <f t="shared" si="10"/>
        <v>76.044410444386287</v>
      </c>
      <c r="V16" s="3">
        <f t="shared" si="11"/>
        <v>71.9642983469233</v>
      </c>
      <c r="W16" s="3">
        <f t="shared" si="27"/>
        <v>68.837548927847962</v>
      </c>
      <c r="X16" s="3">
        <f t="shared" si="12"/>
        <v>67.684287967033171</v>
      </c>
      <c r="Y16" s="3">
        <f t="shared" si="13"/>
        <v>64.851342122993643</v>
      </c>
      <c r="Z16" s="3">
        <f t="shared" si="14"/>
        <v>62.8249674340708</v>
      </c>
      <c r="AA16" s="3">
        <f t="shared" si="15"/>
        <v>59.225486480489344</v>
      </c>
      <c r="AB16" s="3">
        <f t="shared" si="16"/>
        <v>55.575511974060241</v>
      </c>
      <c r="AC16" s="3">
        <f t="shared" si="17"/>
        <v>52.826173778434125</v>
      </c>
      <c r="AD16" s="3">
        <f t="shared" si="18"/>
        <v>50.639067287130587</v>
      </c>
      <c r="AE16" s="3">
        <f t="shared" si="28"/>
        <v>48.402952469668492</v>
      </c>
      <c r="AF16" s="3">
        <f t="shared" si="29"/>
        <v>46.323946381841544</v>
      </c>
      <c r="AG16" s="3">
        <f t="shared" si="19"/>
        <v>43.428706733668378</v>
      </c>
      <c r="AH16" s="3">
        <f t="shared" si="30"/>
        <v>41.488812741654677</v>
      </c>
      <c r="AI16" s="3">
        <f t="shared" si="31"/>
        <v>39.948851570230609</v>
      </c>
      <c r="AJ16" s="3">
        <f t="shared" si="32"/>
        <v>38.19279980495989</v>
      </c>
      <c r="AK16" s="3">
        <f t="shared" si="33"/>
        <v>36.794604821734005</v>
      </c>
    </row>
    <row r="17" spans="1:37" x14ac:dyDescent="0.15">
      <c r="A17" s="6">
        <v>2006</v>
      </c>
      <c r="B17" s="3">
        <f>VLOOKUP('Original INEGI Base 1993-2025'!D19,'Original INEGI Base 1993-2025'!$A$6:$B$160,2,0)</f>
        <v>56.052349760799999</v>
      </c>
      <c r="D17" s="3">
        <f t="shared" si="20"/>
        <v>471.59218230615431</v>
      </c>
      <c r="E17" s="3">
        <f t="shared" si="21"/>
        <v>435.20621291307532</v>
      </c>
      <c r="F17" s="3">
        <f t="shared" si="22"/>
        <v>313.52829692680547</v>
      </c>
      <c r="G17" s="3">
        <f t="shared" si="23"/>
        <v>247.46352020897481</v>
      </c>
      <c r="H17" s="3">
        <f t="shared" si="24"/>
        <v>210.18921413671237</v>
      </c>
      <c r="I17" s="3">
        <f t="shared" si="25"/>
        <v>181.64222184395479</v>
      </c>
      <c r="J17" s="3">
        <f t="shared" si="26"/>
        <v>157.5127201326911</v>
      </c>
      <c r="K17" s="3">
        <f t="shared" si="0"/>
        <v>142.29052971066707</v>
      </c>
      <c r="L17" s="3">
        <f t="shared" si="1"/>
        <v>133.6400002665049</v>
      </c>
      <c r="M17" s="3">
        <f t="shared" si="2"/>
        <v>126.670195551565</v>
      </c>
      <c r="N17" s="3">
        <f t="shared" si="3"/>
        <v>121.47161462896585</v>
      </c>
      <c r="O17" s="3">
        <f t="shared" si="4"/>
        <v>112.35154209576909</v>
      </c>
      <c r="P17" s="3">
        <f t="shared" si="5"/>
        <v>106.10715436934557</v>
      </c>
      <c r="Q17" s="3">
        <f t="shared" si="6"/>
        <v>100</v>
      </c>
      <c r="R17" s="3">
        <f t="shared" si="7"/>
        <v>94.226025042798838</v>
      </c>
      <c r="S17" s="3">
        <f t="shared" si="8"/>
        <v>88.632947776851893</v>
      </c>
      <c r="T17" s="3">
        <f t="shared" si="9"/>
        <v>84.217041987430335</v>
      </c>
      <c r="U17" s="3">
        <f t="shared" si="10"/>
        <v>80.688559979483699</v>
      </c>
      <c r="V17" s="3">
        <f t="shared" si="11"/>
        <v>76.359269137786313</v>
      </c>
      <c r="W17" s="3">
        <f t="shared" si="27"/>
        <v>73.04156430494541</v>
      </c>
      <c r="X17" s="3">
        <f t="shared" si="12"/>
        <v>71.81787191697228</v>
      </c>
      <c r="Y17" s="3">
        <f t="shared" si="13"/>
        <v>68.811913697037298</v>
      </c>
      <c r="Z17" s="3">
        <f t="shared" si="14"/>
        <v>66.661785177760578</v>
      </c>
      <c r="AA17" s="3">
        <f t="shared" ref="AA17:AA30" si="34">(($B17/$B$27)*100)</f>
        <v>62.84247836584872</v>
      </c>
      <c r="AB17" s="3">
        <f t="shared" si="16"/>
        <v>58.969594281870229</v>
      </c>
      <c r="AC17" s="3">
        <f t="shared" si="17"/>
        <v>56.052349758501855</v>
      </c>
      <c r="AD17" s="3">
        <f t="shared" si="18"/>
        <v>53.731673297552426</v>
      </c>
      <c r="AE17" s="3">
        <f t="shared" si="28"/>
        <v>51.358995496312112</v>
      </c>
      <c r="AF17" s="3">
        <f t="shared" si="29"/>
        <v>49.153021297353476</v>
      </c>
      <c r="AG17" s="3">
        <f t="shared" si="19"/>
        <v>46.080964894503879</v>
      </c>
      <c r="AH17" s="3">
        <f t="shared" si="30"/>
        <v>44.022598581796238</v>
      </c>
      <c r="AI17" s="3">
        <f t="shared" si="31"/>
        <v>42.388589604405325</v>
      </c>
      <c r="AJ17" s="3">
        <f t="shared" si="32"/>
        <v>40.525293047023908</v>
      </c>
      <c r="AK17" s="3">
        <f t="shared" si="33"/>
        <v>39.041708137787964</v>
      </c>
    </row>
    <row r="18" spans="1:37" x14ac:dyDescent="0.15">
      <c r="A18" s="6">
        <v>2007</v>
      </c>
      <c r="B18" s="3">
        <f>VLOOKUP('Original INEGI Base 1993-2025'!D20,'Original INEGI Base 1993-2025'!$A$6:$B$160,2,0)</f>
        <v>59.487121244199997</v>
      </c>
      <c r="D18" s="3">
        <f t="shared" si="20"/>
        <v>500.49037099033973</v>
      </c>
      <c r="E18" s="3">
        <f t="shared" si="21"/>
        <v>461.87474502442217</v>
      </c>
      <c r="F18" s="3">
        <f t="shared" si="22"/>
        <v>332.74065926520444</v>
      </c>
      <c r="G18" s="3">
        <f t="shared" si="23"/>
        <v>262.62757035179322</v>
      </c>
      <c r="H18" s="3">
        <f t="shared" si="24"/>
        <v>223.069172281481</v>
      </c>
      <c r="I18" s="3">
        <f t="shared" si="25"/>
        <v>192.77287963856082</v>
      </c>
      <c r="J18" s="3">
        <f t="shared" si="26"/>
        <v>167.1647722178098</v>
      </c>
      <c r="K18" s="3">
        <f t="shared" si="0"/>
        <v>151.00979760744087</v>
      </c>
      <c r="L18" s="3">
        <f t="shared" si="1"/>
        <v>141.82918169985803</v>
      </c>
      <c r="M18" s="3">
        <f t="shared" si="2"/>
        <v>134.43228183936395</v>
      </c>
      <c r="N18" s="3">
        <f t="shared" si="3"/>
        <v>128.91514268355442</v>
      </c>
      <c r="O18" s="3">
        <f t="shared" si="4"/>
        <v>119.23621106242928</v>
      </c>
      <c r="P18" s="3">
        <f t="shared" si="5"/>
        <v>112.60918023566222</v>
      </c>
      <c r="Q18" s="3">
        <f t="shared" si="6"/>
        <v>106.12779214084276</v>
      </c>
      <c r="R18" s="3">
        <f t="shared" si="7"/>
        <v>100</v>
      </c>
      <c r="S18" s="3">
        <f t="shared" si="8"/>
        <v>94.064190584919089</v>
      </c>
      <c r="T18" s="3">
        <f t="shared" si="9"/>
        <v>89.377687267586339</v>
      </c>
      <c r="U18" s="3">
        <f t="shared" si="10"/>
        <v>85.632987216465708</v>
      </c>
      <c r="V18" s="3">
        <f t="shared" si="11"/>
        <v>81.038406430816551</v>
      </c>
      <c r="W18" s="3">
        <f t="shared" si="27"/>
        <v>77.51739954197248</v>
      </c>
      <c r="X18" s="3">
        <f t="shared" si="12"/>
        <v>76.218721828021017</v>
      </c>
      <c r="Y18" s="3">
        <f t="shared" si="13"/>
        <v>73.028564736527841</v>
      </c>
      <c r="Z18" s="3">
        <f t="shared" si="14"/>
        <v>70.746680810828877</v>
      </c>
      <c r="AA18" s="3">
        <f t="shared" si="34"/>
        <v>66.693334816262009</v>
      </c>
      <c r="AB18" s="3">
        <f t="shared" si="16"/>
        <v>62.583128445761538</v>
      </c>
      <c r="AC18" s="3">
        <f t="shared" si="17"/>
        <v>59.487121241761024</v>
      </c>
      <c r="AD18" s="3">
        <f t="shared" si="18"/>
        <v>57.024238551023167</v>
      </c>
      <c r="AE18" s="3">
        <f t="shared" si="28"/>
        <v>54.506167985950917</v>
      </c>
      <c r="AF18" s="3">
        <f t="shared" si="29"/>
        <v>52.16501627339948</v>
      </c>
      <c r="AG18" s="3">
        <f t="shared" si="19"/>
        <v>48.9047106397338</v>
      </c>
      <c r="AH18" s="3">
        <f t="shared" si="30"/>
        <v>46.720211917886303</v>
      </c>
      <c r="AI18" s="3">
        <f t="shared" si="31"/>
        <v>44.986074266798163</v>
      </c>
      <c r="AJ18" s="3">
        <f t="shared" si="32"/>
        <v>43.008598769412934</v>
      </c>
      <c r="AK18" s="3">
        <f t="shared" si="33"/>
        <v>41.434102860706105</v>
      </c>
    </row>
    <row r="19" spans="1:37" x14ac:dyDescent="0.15">
      <c r="A19" s="6">
        <v>2008</v>
      </c>
      <c r="B19" s="3">
        <f>VLOOKUP('Original INEGI Base 1993-2025'!D21,'Original INEGI Base 1993-2025'!$A$6:$B$160,2,0)</f>
        <v>63.240985623</v>
      </c>
      <c r="D19" s="3">
        <f t="shared" si="20"/>
        <v>532.0732234850924</v>
      </c>
      <c r="E19" s="3">
        <f t="shared" si="21"/>
        <v>491.02080414698497</v>
      </c>
      <c r="F19" s="3">
        <f t="shared" si="22"/>
        <v>353.73786474547239</v>
      </c>
      <c r="G19" s="3">
        <f t="shared" si="23"/>
        <v>279.20037234009772</v>
      </c>
      <c r="H19" s="3">
        <f t="shared" si="24"/>
        <v>237.1456883797868</v>
      </c>
      <c r="I19" s="3">
        <f t="shared" si="25"/>
        <v>204.93758404749119</v>
      </c>
      <c r="J19" s="3">
        <f t="shared" si="26"/>
        <v>177.71350731700301</v>
      </c>
      <c r="K19" s="3">
        <f t="shared" si="0"/>
        <v>160.53909215442889</v>
      </c>
      <c r="L19" s="3">
        <f t="shared" si="1"/>
        <v>150.77914434592168</v>
      </c>
      <c r="M19" s="3">
        <f t="shared" si="2"/>
        <v>142.91547187449771</v>
      </c>
      <c r="N19" s="3">
        <f t="shared" si="3"/>
        <v>137.05018018219448</v>
      </c>
      <c r="O19" s="3">
        <f t="shared" si="4"/>
        <v>126.76047103683463</v>
      </c>
      <c r="P19" s="3">
        <f t="shared" si="5"/>
        <v>119.71524927331527</v>
      </c>
      <c r="Q19" s="3">
        <f t="shared" si="6"/>
        <v>112.82486085396432</v>
      </c>
      <c r="R19" s="3">
        <f t="shared" si="7"/>
        <v>106.31038164275937</v>
      </c>
      <c r="S19" s="3">
        <f t="shared" si="8"/>
        <v>100</v>
      </c>
      <c r="T19" s="3">
        <f t="shared" si="9"/>
        <v>95.017760437642977</v>
      </c>
      <c r="U19" s="3">
        <f t="shared" si="10"/>
        <v>91.036755521920028</v>
      </c>
      <c r="V19" s="3">
        <f t="shared" si="11"/>
        <v>86.152239153811522</v>
      </c>
      <c r="W19" s="3">
        <f t="shared" si="27"/>
        <v>82.409043292613532</v>
      </c>
      <c r="X19" s="3">
        <f t="shared" si="12"/>
        <v>81.02841405860228</v>
      </c>
      <c r="Y19" s="3">
        <f t="shared" si="13"/>
        <v>77.63694587963235</v>
      </c>
      <c r="Z19" s="3">
        <f t="shared" si="14"/>
        <v>75.211066369576997</v>
      </c>
      <c r="AA19" s="3">
        <f t="shared" si="34"/>
        <v>70.901938773451448</v>
      </c>
      <c r="AB19" s="3">
        <f t="shared" si="16"/>
        <v>66.532362694667384</v>
      </c>
      <c r="AC19" s="3">
        <f t="shared" si="17"/>
        <v>63.240985620407116</v>
      </c>
      <c r="AD19" s="3">
        <f t="shared" si="18"/>
        <v>60.62268563247023</v>
      </c>
      <c r="AE19" s="3">
        <f t="shared" si="28"/>
        <v>57.945715204707938</v>
      </c>
      <c r="AF19" s="3">
        <f t="shared" si="29"/>
        <v>55.456827884258509</v>
      </c>
      <c r="AG19" s="3">
        <f t="shared" si="19"/>
        <v>51.990784522388147</v>
      </c>
      <c r="AH19" s="3">
        <f t="shared" si="30"/>
        <v>49.668435594210877</v>
      </c>
      <c r="AI19" s="3">
        <f t="shared" si="31"/>
        <v>47.824867239128295</v>
      </c>
      <c r="AJ19" s="3">
        <f t="shared" si="32"/>
        <v>45.722605490966004</v>
      </c>
      <c r="AK19" s="3">
        <f t="shared" si="33"/>
        <v>44.048752881470136</v>
      </c>
    </row>
    <row r="20" spans="1:37" x14ac:dyDescent="0.15">
      <c r="A20" s="6">
        <v>2009</v>
      </c>
      <c r="B20" s="3">
        <f>VLOOKUP('Original INEGI Base 1993-2025'!D22,'Original INEGI Base 1993-2025'!$A$6:$B$160,2,0)</f>
        <v>66.557015585000002</v>
      </c>
      <c r="D20" s="3">
        <f t="shared" si="20"/>
        <v>559.97238940847751</v>
      </c>
      <c r="E20" s="3">
        <f t="shared" si="21"/>
        <v>516.76739368028541</v>
      </c>
      <c r="F20" s="3">
        <f t="shared" si="22"/>
        <v>372.2860474885839</v>
      </c>
      <c r="G20" s="3">
        <f t="shared" si="23"/>
        <v>293.84019477424721</v>
      </c>
      <c r="H20" s="3">
        <f t="shared" si="24"/>
        <v>249.58038085460635</v>
      </c>
      <c r="I20" s="3">
        <f t="shared" si="25"/>
        <v>215.6834502345327</v>
      </c>
      <c r="J20" s="3">
        <f t="shared" si="26"/>
        <v>187.03188382726671</v>
      </c>
      <c r="K20" s="3">
        <f t="shared" si="0"/>
        <v>168.95693122527908</v>
      </c>
      <c r="L20" s="3">
        <f t="shared" si="1"/>
        <v>158.6852222694441</v>
      </c>
      <c r="M20" s="3">
        <f t="shared" si="2"/>
        <v>150.4092195145858</v>
      </c>
      <c r="N20" s="3">
        <f t="shared" si="3"/>
        <v>144.23638228364263</v>
      </c>
      <c r="O20" s="3">
        <f t="shared" si="4"/>
        <v>133.40713404840074</v>
      </c>
      <c r="P20" s="3">
        <f t="shared" si="5"/>
        <v>125.99249732041457</v>
      </c>
      <c r="Q20" s="3">
        <f t="shared" si="6"/>
        <v>118.74081259577525</v>
      </c>
      <c r="R20" s="3">
        <f t="shared" si="7"/>
        <v>111.88474781251803</v>
      </c>
      <c r="S20" s="3">
        <f t="shared" si="8"/>
        <v>105.24348241782305</v>
      </c>
      <c r="T20" s="3">
        <f t="shared" si="9"/>
        <v>100</v>
      </c>
      <c r="U20" s="3">
        <f t="shared" si="10"/>
        <v>95.810251791468446</v>
      </c>
      <c r="V20" s="3">
        <f t="shared" si="11"/>
        <v>90.669616666402504</v>
      </c>
      <c r="W20" s="3">
        <f t="shared" si="27"/>
        <v>86.730146988357916</v>
      </c>
      <c r="X20" s="3">
        <f t="shared" si="12"/>
        <v>85.277124703205956</v>
      </c>
      <c r="Y20" s="3">
        <f t="shared" si="13"/>
        <v>81.707825486565653</v>
      </c>
      <c r="Z20" s="3">
        <f t="shared" si="14"/>
        <v>79.15474541092297</v>
      </c>
      <c r="AA20" s="3">
        <f t="shared" si="34"/>
        <v>74.619669466933033</v>
      </c>
      <c r="AB20" s="3">
        <f t="shared" si="16"/>
        <v>70.020975434724534</v>
      </c>
      <c r="AC20" s="3">
        <f t="shared" si="17"/>
        <v>66.557015582271163</v>
      </c>
      <c r="AD20" s="3">
        <f t="shared" si="18"/>
        <v>63.80142549482094</v>
      </c>
      <c r="AE20" s="3">
        <f t="shared" si="28"/>
        <v>60.984088593348616</v>
      </c>
      <c r="AF20" s="3">
        <f t="shared" si="29"/>
        <v>58.364696903851986</v>
      </c>
      <c r="AG20" s="3">
        <f t="shared" si="19"/>
        <v>54.716912167707832</v>
      </c>
      <c r="AH20" s="3">
        <f t="shared" si="30"/>
        <v>52.272791281801091</v>
      </c>
      <c r="AI20" s="3">
        <f t="shared" si="31"/>
        <v>50.332555744159194</v>
      </c>
      <c r="AJ20" s="3">
        <f t="shared" si="32"/>
        <v>48.120062270855399</v>
      </c>
      <c r="AK20" s="3">
        <f t="shared" si="33"/>
        <v>46.358441494080353</v>
      </c>
    </row>
    <row r="21" spans="1:37" x14ac:dyDescent="0.15">
      <c r="A21" s="6">
        <v>2010</v>
      </c>
      <c r="B21" s="3">
        <f>VLOOKUP('Original INEGI Base 1993-2025'!D23,'Original INEGI Base 1993-2025'!$A$6:$B$160,2,0)</f>
        <v>69.467530186499999</v>
      </c>
      <c r="D21" s="3">
        <f t="shared" si="20"/>
        <v>584.45978268302702</v>
      </c>
      <c r="E21" s="3">
        <f t="shared" si="21"/>
        <v>539.36544786985064</v>
      </c>
      <c r="F21" s="3">
        <f t="shared" si="22"/>
        <v>388.56598383528575</v>
      </c>
      <c r="G21" s="3">
        <f t="shared" si="23"/>
        <v>306.68972190344726</v>
      </c>
      <c r="H21" s="3">
        <f t="shared" si="24"/>
        <v>260.49444207475779</v>
      </c>
      <c r="I21" s="3">
        <f t="shared" si="25"/>
        <v>225.1152107438032</v>
      </c>
      <c r="J21" s="3">
        <f t="shared" si="26"/>
        <v>195.21072153566891</v>
      </c>
      <c r="K21" s="3">
        <f t="shared" si="0"/>
        <v>176.34535768992112</v>
      </c>
      <c r="L21" s="3">
        <f t="shared" si="1"/>
        <v>165.62447055751755</v>
      </c>
      <c r="M21" s="3">
        <f t="shared" si="2"/>
        <v>156.98656114791592</v>
      </c>
      <c r="N21" s="3">
        <f t="shared" si="3"/>
        <v>150.54378794199806</v>
      </c>
      <c r="O21" s="3">
        <f t="shared" si="4"/>
        <v>139.24098053594733</v>
      </c>
      <c r="P21" s="3">
        <f t="shared" si="5"/>
        <v>131.50210438298186</v>
      </c>
      <c r="Q21" s="3">
        <f t="shared" si="6"/>
        <v>123.93330606646906</v>
      </c>
      <c r="R21" s="3">
        <f t="shared" si="7"/>
        <v>116.77742801055967</v>
      </c>
      <c r="S21" s="3">
        <f t="shared" si="8"/>
        <v>109.84574244401952</v>
      </c>
      <c r="T21" s="3">
        <f t="shared" si="9"/>
        <v>104.37296440640877</v>
      </c>
      <c r="U21" s="3">
        <f t="shared" si="10"/>
        <v>100</v>
      </c>
      <c r="V21" s="3">
        <f t="shared" si="11"/>
        <v>94.634566730651557</v>
      </c>
      <c r="W21" s="3">
        <f t="shared" si="27"/>
        <v>90.522825445784832</v>
      </c>
      <c r="X21" s="3">
        <f t="shared" si="12"/>
        <v>89.006263013285974</v>
      </c>
      <c r="Y21" s="3">
        <f t="shared" si="13"/>
        <v>85.280879612343767</v>
      </c>
      <c r="Z21" s="3">
        <f t="shared" si="14"/>
        <v>82.616154253726123</v>
      </c>
      <c r="AA21" s="3">
        <f t="shared" si="34"/>
        <v>77.882761052901898</v>
      </c>
      <c r="AB21" s="3">
        <f t="shared" si="16"/>
        <v>73.082967767505266</v>
      </c>
      <c r="AC21" s="3">
        <f t="shared" si="17"/>
        <v>69.467530183651832</v>
      </c>
      <c r="AD21" s="3">
        <f t="shared" si="18"/>
        <v>66.591439122490883</v>
      </c>
      <c r="AE21" s="3">
        <f t="shared" si="28"/>
        <v>63.650901081108543</v>
      </c>
      <c r="AF21" s="3">
        <f t="shared" si="29"/>
        <v>60.916964325365811</v>
      </c>
      <c r="AG21" s="3">
        <f t="shared" si="19"/>
        <v>57.109663261087654</v>
      </c>
      <c r="AH21" s="3">
        <f t="shared" si="30"/>
        <v>54.558661838790599</v>
      </c>
      <c r="AI21" s="3">
        <f t="shared" si="31"/>
        <v>52.53358049168714</v>
      </c>
      <c r="AJ21" s="3">
        <f t="shared" si="32"/>
        <v>50.224335466301653</v>
      </c>
      <c r="AK21" s="3">
        <f t="shared" si="33"/>
        <v>48.385679639982321</v>
      </c>
    </row>
    <row r="22" spans="1:37" x14ac:dyDescent="0.15">
      <c r="A22" s="6">
        <v>2011</v>
      </c>
      <c r="B22" s="3">
        <f>VLOOKUP('Original INEGI Base 1993-2025'!D24,'Original INEGI Base 1993-2025'!$A$6:$B$160,2,0)</f>
        <v>73.406084675399995</v>
      </c>
      <c r="D22" s="3">
        <f t="shared" si="20"/>
        <v>617.59651137465823</v>
      </c>
      <c r="E22" s="3">
        <f t="shared" si="21"/>
        <v>569.94549296663445</v>
      </c>
      <c r="F22" s="3">
        <f t="shared" si="22"/>
        <v>410.5962517282087</v>
      </c>
      <c r="G22" s="3">
        <f t="shared" si="23"/>
        <v>324.07790567303601</v>
      </c>
      <c r="H22" s="3">
        <f t="shared" si="24"/>
        <v>275.26352270008886</v>
      </c>
      <c r="I22" s="3">
        <f t="shared" si="25"/>
        <v>237.87841855347108</v>
      </c>
      <c r="J22" s="3">
        <f t="shared" si="26"/>
        <v>206.27845435302373</v>
      </c>
      <c r="K22" s="3">
        <f t="shared" si="0"/>
        <v>186.34349348461055</v>
      </c>
      <c r="L22" s="3">
        <f t="shared" si="1"/>
        <v>175.01477132443279</v>
      </c>
      <c r="M22" s="3">
        <f t="shared" si="2"/>
        <v>165.8871240935992</v>
      </c>
      <c r="N22" s="3">
        <f t="shared" si="3"/>
        <v>159.07906924800008</v>
      </c>
      <c r="O22" s="3">
        <f t="shared" si="4"/>
        <v>147.13543406634315</v>
      </c>
      <c r="P22" s="3">
        <f t="shared" si="5"/>
        <v>138.95779198446851</v>
      </c>
      <c r="Q22" s="3">
        <f t="shared" si="6"/>
        <v>130.95987052934623</v>
      </c>
      <c r="R22" s="3">
        <f t="shared" si="7"/>
        <v>123.39828040099871</v>
      </c>
      <c r="S22" s="3">
        <f t="shared" si="8"/>
        <v>116.07359365490831</v>
      </c>
      <c r="T22" s="3">
        <f t="shared" si="9"/>
        <v>110.2905291503839</v>
      </c>
      <c r="U22" s="3">
        <f t="shared" si="10"/>
        <v>105.66963368112575</v>
      </c>
      <c r="V22" s="3">
        <f t="shared" si="11"/>
        <v>100</v>
      </c>
      <c r="W22" s="3">
        <f t="shared" si="27"/>
        <v>95.655138046365707</v>
      </c>
      <c r="X22" s="3">
        <f t="shared" si="12"/>
        <v>94.052592079398607</v>
      </c>
      <c r="Y22" s="3">
        <f t="shared" si="13"/>
        <v>90.11599308640551</v>
      </c>
      <c r="Z22" s="3">
        <f t="shared" si="14"/>
        <v>87.300187561346192</v>
      </c>
      <c r="AA22" s="3">
        <f t="shared" si="34"/>
        <v>82.298428305347898</v>
      </c>
      <c r="AB22" s="3">
        <f t="shared" si="16"/>
        <v>77.226504323218023</v>
      </c>
      <c r="AC22" s="3">
        <f t="shared" si="17"/>
        <v>73.40608467239035</v>
      </c>
      <c r="AD22" s="3">
        <f t="shared" si="18"/>
        <v>70.366929783725979</v>
      </c>
      <c r="AE22" s="3">
        <f t="shared" si="28"/>
        <v>67.259674007143104</v>
      </c>
      <c r="AF22" s="3">
        <f t="shared" si="29"/>
        <v>64.370733052276094</v>
      </c>
      <c r="AG22" s="3">
        <f t="shared" si="19"/>
        <v>60.34757196451578</v>
      </c>
      <c r="AH22" s="3">
        <f t="shared" si="30"/>
        <v>57.651938106374168</v>
      </c>
      <c r="AI22" s="3">
        <f t="shared" si="31"/>
        <v>55.512042065145138</v>
      </c>
      <c r="AJ22" s="3">
        <f t="shared" si="32"/>
        <v>53.071871306020668</v>
      </c>
      <c r="AK22" s="3">
        <f t="shared" si="33"/>
        <v>51.128970429692359</v>
      </c>
    </row>
    <row r="23" spans="1:37" x14ac:dyDescent="0.15">
      <c r="A23" s="6">
        <v>2012</v>
      </c>
      <c r="B23" s="3">
        <f>VLOOKUP('Original INEGI Base 1993-2025'!D25,'Original INEGI Base 1993-2025'!$A$6:$B$160,2,0)</f>
        <v>76.740346806900007</v>
      </c>
      <c r="D23" s="3">
        <f t="shared" si="20"/>
        <v>645.64907226969717</v>
      </c>
      <c r="E23" s="3">
        <f t="shared" si="21"/>
        <v>595.8336421932421</v>
      </c>
      <c r="F23" s="3">
        <f t="shared" si="22"/>
        <v>429.24641594180298</v>
      </c>
      <c r="G23" s="3">
        <f t="shared" si="23"/>
        <v>338.7982206621769</v>
      </c>
      <c r="H23" s="3">
        <f t="shared" si="24"/>
        <v>287.76658350193782</v>
      </c>
      <c r="I23" s="3">
        <f t="shared" si="25"/>
        <v>248.6833675763107</v>
      </c>
      <c r="J23" s="3">
        <f t="shared" si="26"/>
        <v>215.64806508672541</v>
      </c>
      <c r="K23" s="3">
        <f t="shared" si="0"/>
        <v>194.80761545112887</v>
      </c>
      <c r="L23" s="3">
        <f t="shared" si="1"/>
        <v>182.96431838256308</v>
      </c>
      <c r="M23" s="3">
        <f t="shared" si="2"/>
        <v>173.42207379721813</v>
      </c>
      <c r="N23" s="3">
        <f t="shared" si="3"/>
        <v>166.3047824685504</v>
      </c>
      <c r="O23" s="3">
        <f t="shared" si="4"/>
        <v>153.81864170748889</v>
      </c>
      <c r="P23" s="3">
        <f t="shared" si="5"/>
        <v>145.26955354673501</v>
      </c>
      <c r="Q23" s="3">
        <f t="shared" si="6"/>
        <v>136.90834930985903</v>
      </c>
      <c r="R23" s="3">
        <f t="shared" si="7"/>
        <v>129.00329550639032</v>
      </c>
      <c r="S23" s="3">
        <f t="shared" si="8"/>
        <v>121.34590574595734</v>
      </c>
      <c r="T23" s="3">
        <f t="shared" si="9"/>
        <v>115.30016202258177</v>
      </c>
      <c r="U23" s="3">
        <f t="shared" si="10"/>
        <v>110.4693755498067</v>
      </c>
      <c r="V23" s="3">
        <f t="shared" si="11"/>
        <v>104.54221492161588</v>
      </c>
      <c r="W23" s="3">
        <f t="shared" si="27"/>
        <v>100</v>
      </c>
      <c r="X23" s="3">
        <f t="shared" si="12"/>
        <v>98.324662950995574</v>
      </c>
      <c r="Y23" s="3">
        <f t="shared" si="13"/>
        <v>94.209255171138565</v>
      </c>
      <c r="Z23" s="3">
        <f t="shared" si="14"/>
        <v>91.265549707356314</v>
      </c>
      <c r="AA23" s="3">
        <f t="shared" si="34"/>
        <v>86.036599796088765</v>
      </c>
      <c r="AB23" s="3">
        <f t="shared" si="16"/>
        <v>80.734298126029572</v>
      </c>
      <c r="AC23" s="3">
        <f t="shared" si="17"/>
        <v>76.740346803753653</v>
      </c>
      <c r="AD23" s="3">
        <f t="shared" si="18"/>
        <v>73.563146968245348</v>
      </c>
      <c r="AE23" s="3">
        <f t="shared" si="28"/>
        <v>70.314752956125758</v>
      </c>
      <c r="AF23" s="3">
        <f t="shared" si="29"/>
        <v>67.294590094130115</v>
      </c>
      <c r="AG23" s="3">
        <f t="shared" si="19"/>
        <v>63.088688383120896</v>
      </c>
      <c r="AH23" s="3">
        <f t="shared" si="30"/>
        <v>60.270613041642648</v>
      </c>
      <c r="AI23" s="3">
        <f t="shared" si="31"/>
        <v>58.033518323121847</v>
      </c>
      <c r="AJ23" s="3">
        <f t="shared" si="32"/>
        <v>55.482509763663522</v>
      </c>
      <c r="AK23" s="3">
        <f t="shared" si="33"/>
        <v>53.451358153818418</v>
      </c>
    </row>
    <row r="24" spans="1:37" x14ac:dyDescent="0.15">
      <c r="A24" s="6">
        <v>2013</v>
      </c>
      <c r="B24" s="3">
        <f>VLOOKUP('Original INEGI Base 1993-2025'!D26,'Original INEGI Base 1993-2025'!$A$6:$B$160,2,0)</f>
        <v>78.047912399300003</v>
      </c>
      <c r="D24" s="3">
        <f t="shared" si="20"/>
        <v>656.65017594973585</v>
      </c>
      <c r="E24" s="3">
        <f t="shared" si="21"/>
        <v>605.98594931385833</v>
      </c>
      <c r="F24" s="3">
        <f t="shared" si="22"/>
        <v>436.5602719184879</v>
      </c>
      <c r="G24" s="3">
        <f t="shared" si="23"/>
        <v>344.57094537006645</v>
      </c>
      <c r="H24" s="3">
        <f t="shared" si="24"/>
        <v>292.66978890673539</v>
      </c>
      <c r="I24" s="3">
        <f t="shared" si="25"/>
        <v>252.92064077580724</v>
      </c>
      <c r="J24" s="3">
        <f t="shared" si="26"/>
        <v>219.32245543948943</v>
      </c>
      <c r="K24" s="3">
        <f t="shared" si="0"/>
        <v>198.12690896099977</v>
      </c>
      <c r="L24" s="3">
        <f t="shared" si="1"/>
        <v>186.08181598725787</v>
      </c>
      <c r="M24" s="3">
        <f t="shared" si="2"/>
        <v>176.37698273489193</v>
      </c>
      <c r="N24" s="3">
        <f t="shared" si="3"/>
        <v>169.13842110136267</v>
      </c>
      <c r="O24" s="3">
        <f t="shared" si="4"/>
        <v>156.43953113182926</v>
      </c>
      <c r="P24" s="3">
        <f t="shared" si="5"/>
        <v>147.74477652584122</v>
      </c>
      <c r="Q24" s="3">
        <f t="shared" si="6"/>
        <v>139.24110716564911</v>
      </c>
      <c r="R24" s="3">
        <f t="shared" si="7"/>
        <v>131.20136050777492</v>
      </c>
      <c r="S24" s="3">
        <f t="shared" si="8"/>
        <v>123.41349779804017</v>
      </c>
      <c r="T24" s="3">
        <f t="shared" si="9"/>
        <v>117.26474168545759</v>
      </c>
      <c r="U24" s="3">
        <f t="shared" si="10"/>
        <v>112.35164427145199</v>
      </c>
      <c r="V24" s="3">
        <f t="shared" si="11"/>
        <v>106.32349177105149</v>
      </c>
      <c r="W24" s="3">
        <f t="shared" si="27"/>
        <v>101.70388282931557</v>
      </c>
      <c r="X24" s="3">
        <f t="shared" ref="X24:X30" si="35">(($B24/$B$24)*100)</f>
        <v>100</v>
      </c>
      <c r="Y24" s="3">
        <f t="shared" si="13"/>
        <v>95.814470493625691</v>
      </c>
      <c r="Z24" s="3">
        <f t="shared" si="14"/>
        <v>92.820607737900431</v>
      </c>
      <c r="AA24" s="3">
        <f t="shared" si="34"/>
        <v>87.502562646941286</v>
      </c>
      <c r="AB24" s="3">
        <f t="shared" si="16"/>
        <v>82.109915969167432</v>
      </c>
      <c r="AC24" s="3">
        <f t="shared" si="17"/>
        <v>78.047912396100045</v>
      </c>
      <c r="AD24" s="3">
        <f t="shared" si="18"/>
        <v>74.816576798141469</v>
      </c>
      <c r="AE24" s="3">
        <f t="shared" si="28"/>
        <v>71.512833958220853</v>
      </c>
      <c r="AF24" s="3">
        <f t="shared" si="29"/>
        <v>68.441211059802299</v>
      </c>
      <c r="AG24" s="3">
        <f t="shared" si="19"/>
        <v>64.163645711721301</v>
      </c>
      <c r="AH24" s="3">
        <f t="shared" si="30"/>
        <v>61.297553668382442</v>
      </c>
      <c r="AI24" s="3">
        <f t="shared" si="31"/>
        <v>59.022341477077234</v>
      </c>
      <c r="AJ24" s="3">
        <f t="shared" si="32"/>
        <v>56.427866720799926</v>
      </c>
      <c r="AK24" s="3">
        <f t="shared" si="33"/>
        <v>54.362106667437303</v>
      </c>
    </row>
    <row r="25" spans="1:37" x14ac:dyDescent="0.15">
      <c r="A25" s="6">
        <v>2014</v>
      </c>
      <c r="B25" s="3">
        <f>VLOOKUP('Original INEGI Base 1993-2025'!D27,'Original INEGI Base 1993-2025'!$A$6:$B$160,2,0)</f>
        <v>81.457333111799997</v>
      </c>
      <c r="D25" s="3">
        <f t="shared" si="20"/>
        <v>685.3350778507106</v>
      </c>
      <c r="E25" s="3">
        <f t="shared" si="21"/>
        <v>632.45765090793157</v>
      </c>
      <c r="F25" s="3">
        <f t="shared" si="22"/>
        <v>455.63083495569822</v>
      </c>
      <c r="G25" s="3">
        <f t="shared" si="23"/>
        <v>359.62307529841218</v>
      </c>
      <c r="H25" s="3">
        <f t="shared" si="24"/>
        <v>305.45468487059691</v>
      </c>
      <c r="I25" s="3">
        <f t="shared" si="25"/>
        <v>263.9691473248119</v>
      </c>
      <c r="J25" s="3">
        <f t="shared" si="26"/>
        <v>228.90326931784318</v>
      </c>
      <c r="K25" s="3">
        <f t="shared" si="0"/>
        <v>206.78182318419292</v>
      </c>
      <c r="L25" s="3">
        <f t="shared" si="1"/>
        <v>194.21055611807344</v>
      </c>
      <c r="M25" s="3">
        <f t="shared" si="2"/>
        <v>184.08177995058259</v>
      </c>
      <c r="N25" s="3">
        <f t="shared" si="3"/>
        <v>176.52701124368789</v>
      </c>
      <c r="O25" s="3">
        <f t="shared" si="4"/>
        <v>163.27338691730992</v>
      </c>
      <c r="P25" s="3">
        <f t="shared" si="5"/>
        <v>154.19881335739399</v>
      </c>
      <c r="Q25" s="3">
        <f t="shared" si="6"/>
        <v>145.32367235167521</v>
      </c>
      <c r="R25" s="3">
        <f t="shared" si="7"/>
        <v>136.9327199032044</v>
      </c>
      <c r="S25" s="3">
        <f t="shared" si="8"/>
        <v>128.80465462286364</v>
      </c>
      <c r="T25" s="3">
        <f t="shared" si="9"/>
        <v>122.387298162086</v>
      </c>
      <c r="U25" s="3">
        <f t="shared" si="10"/>
        <v>117.25957852986983</v>
      </c>
      <c r="V25" s="3">
        <f t="shared" si="11"/>
        <v>110.96809409193045</v>
      </c>
      <c r="W25" s="3">
        <f t="shared" si="27"/>
        <v>106.14668359105704</v>
      </c>
      <c r="X25" s="3">
        <f t="shared" si="35"/>
        <v>104.36836887456656</v>
      </c>
      <c r="Y25" s="3">
        <f t="shared" ref="Y25:Y30" si="36">(($B25/$B$25)*100)</f>
        <v>100</v>
      </c>
      <c r="Z25" s="3">
        <f t="shared" si="14"/>
        <v>96.875354275506382</v>
      </c>
      <c r="AA25" s="3">
        <f t="shared" si="34"/>
        <v>91.324997358058383</v>
      </c>
      <c r="AB25" s="3">
        <f t="shared" si="16"/>
        <v>85.696779981297297</v>
      </c>
      <c r="AC25" s="3">
        <f t="shared" si="17"/>
        <v>81.457333108460233</v>
      </c>
      <c r="AD25" s="3">
        <f t="shared" si="18"/>
        <v>78.084840852007659</v>
      </c>
      <c r="AE25" s="3">
        <f t="shared" si="28"/>
        <v>74.636778338172235</v>
      </c>
      <c r="AF25" s="3">
        <f t="shared" si="29"/>
        <v>71.43097562111511</v>
      </c>
      <c r="AG25" s="3">
        <f t="shared" si="19"/>
        <v>66.966550439779297</v>
      </c>
      <c r="AH25" s="3">
        <f t="shared" si="30"/>
        <v>63.975256923702787</v>
      </c>
      <c r="AI25" s="3">
        <f t="shared" si="31"/>
        <v>61.600655071202262</v>
      </c>
      <c r="AJ25" s="3">
        <f t="shared" si="32"/>
        <v>58.892844087213248</v>
      </c>
      <c r="AK25" s="3">
        <f t="shared" si="33"/>
        <v>56.736844014656306</v>
      </c>
    </row>
    <row r="26" spans="1:37" x14ac:dyDescent="0.15">
      <c r="A26" s="6">
        <v>2015</v>
      </c>
      <c r="B26" s="3">
        <f>VLOOKUP('Original INEGI Base 1993-2025'!D28,'Original INEGI Base 1993-2025'!$A$6:$B$160,2,0)</f>
        <v>84.084681517800007</v>
      </c>
      <c r="D26" s="3">
        <f t="shared" si="20"/>
        <v>707.44007387231647</v>
      </c>
      <c r="E26" s="3">
        <f t="shared" si="21"/>
        <v>652.8571230916674</v>
      </c>
      <c r="F26" s="3">
        <f t="shared" si="22"/>
        <v>470.32688382219237</v>
      </c>
      <c r="G26" s="3">
        <f t="shared" si="23"/>
        <v>371.22246208841784</v>
      </c>
      <c r="H26" s="3">
        <f t="shared" si="24"/>
        <v>315.30690871272191</v>
      </c>
      <c r="I26" s="3">
        <f t="shared" si="25"/>
        <v>272.48328462789726</v>
      </c>
      <c r="J26" s="3">
        <f t="shared" si="26"/>
        <v>236.28638163929611</v>
      </c>
      <c r="K26" s="3">
        <f t="shared" si="0"/>
        <v>213.4514239773726</v>
      </c>
      <c r="L26" s="3">
        <f t="shared" si="1"/>
        <v>200.47467962362532</v>
      </c>
      <c r="M26" s="3">
        <f t="shared" si="2"/>
        <v>190.01920697710949</v>
      </c>
      <c r="N26" s="3">
        <f t="shared" si="3"/>
        <v>182.2207645730596</v>
      </c>
      <c r="O26" s="3">
        <f t="shared" si="4"/>
        <v>168.53965401042294</v>
      </c>
      <c r="P26" s="3">
        <f t="shared" si="5"/>
        <v>159.17238652760318</v>
      </c>
      <c r="Q26" s="3">
        <f t="shared" si="6"/>
        <v>150.01098415432409</v>
      </c>
      <c r="R26" s="3">
        <f t="shared" si="7"/>
        <v>141.34938749620244</v>
      </c>
      <c r="S26" s="3">
        <f t="shared" si="8"/>
        <v>132.95915724504363</v>
      </c>
      <c r="T26" s="3">
        <f t="shared" si="9"/>
        <v>126.33481351100457</v>
      </c>
      <c r="U26" s="3">
        <f t="shared" si="10"/>
        <v>121.0417029251756</v>
      </c>
      <c r="V26" s="3">
        <f t="shared" si="11"/>
        <v>114.54729112664232</v>
      </c>
      <c r="W26" s="3">
        <f t="shared" si="27"/>
        <v>109.57036945556212</v>
      </c>
      <c r="X26" s="3">
        <f t="shared" si="35"/>
        <v>107.73469646134205</v>
      </c>
      <c r="Y26" s="3">
        <f t="shared" si="36"/>
        <v>103.22542895234979</v>
      </c>
      <c r="Z26" s="3">
        <f t="shared" si="14"/>
        <v>100</v>
      </c>
      <c r="AA26" s="3">
        <f t="shared" si="34"/>
        <v>94.270620263577882</v>
      </c>
      <c r="AB26" s="3">
        <f t="shared" si="16"/>
        <v>88.460868734045562</v>
      </c>
      <c r="AC26" s="3">
        <f t="shared" si="17"/>
        <v>84.084681514352539</v>
      </c>
      <c r="AD26" s="3">
        <f t="shared" si="18"/>
        <v>80.603411916244568</v>
      </c>
      <c r="AE26" s="3">
        <f t="shared" si="28"/>
        <v>77.044134595792784</v>
      </c>
      <c r="AF26" s="3">
        <f t="shared" si="29"/>
        <v>73.73493098974447</v>
      </c>
      <c r="AG26" s="3">
        <f t="shared" si="19"/>
        <v>69.12650894605386</v>
      </c>
      <c r="AH26" s="3">
        <f t="shared" si="30"/>
        <v>66.038733382860059</v>
      </c>
      <c r="AI26" s="3">
        <f t="shared" si="31"/>
        <v>63.58754043470595</v>
      </c>
      <c r="AJ26" s="3">
        <f t="shared" si="32"/>
        <v>60.792390931264443</v>
      </c>
      <c r="AK26" s="3">
        <f t="shared" si="33"/>
        <v>58.566850608154574</v>
      </c>
    </row>
    <row r="27" spans="1:37" x14ac:dyDescent="0.15">
      <c r="A27" s="6">
        <v>2016</v>
      </c>
      <c r="B27" s="3">
        <f>VLOOKUP('Original INEGI Base 1993-2025'!D29,'Original INEGI Base 1993-2025'!$A$6:$B$160,2,0)</f>
        <v>89.195001881500005</v>
      </c>
      <c r="D27" s="3">
        <f t="shared" si="20"/>
        <v>750.43536564661906</v>
      </c>
      <c r="E27" s="3">
        <f t="shared" si="21"/>
        <v>692.53508809669245</v>
      </c>
      <c r="F27" s="3">
        <f t="shared" si="22"/>
        <v>498.91141323476216</v>
      </c>
      <c r="G27" s="3">
        <f t="shared" si="23"/>
        <v>393.7838332350957</v>
      </c>
      <c r="H27" s="3">
        <f t="shared" si="24"/>
        <v>334.46996299709616</v>
      </c>
      <c r="I27" s="3">
        <f t="shared" si="25"/>
        <v>289.04369555015342</v>
      </c>
      <c r="J27" s="3">
        <f t="shared" si="26"/>
        <v>250.64689399374521</v>
      </c>
      <c r="K27" s="3">
        <f t="shared" si="0"/>
        <v>226.42412172590861</v>
      </c>
      <c r="L27" s="3">
        <f t="shared" si="1"/>
        <v>212.6587043376866</v>
      </c>
      <c r="M27" s="3">
        <f t="shared" si="2"/>
        <v>201.56779115892246</v>
      </c>
      <c r="N27" s="3">
        <f t="shared" si="3"/>
        <v>193.29539156905483</v>
      </c>
      <c r="O27" s="3">
        <f t="shared" si="4"/>
        <v>178.782799497013</v>
      </c>
      <c r="P27" s="3">
        <f t="shared" si="5"/>
        <v>168.84622810644706</v>
      </c>
      <c r="Q27" s="3">
        <f t="shared" si="6"/>
        <v>159.12803345824798</v>
      </c>
      <c r="R27" s="3">
        <f t="shared" si="7"/>
        <v>149.94002065648206</v>
      </c>
      <c r="S27" s="3">
        <f t="shared" si="8"/>
        <v>141.03986679338033</v>
      </c>
      <c r="T27" s="3">
        <f t="shared" si="9"/>
        <v>134.01292275130487</v>
      </c>
      <c r="U27" s="3">
        <f t="shared" si="10"/>
        <v>128.39811872113131</v>
      </c>
      <c r="V27" s="3">
        <f t="shared" si="11"/>
        <v>121.50900334205024</v>
      </c>
      <c r="W27" s="3">
        <f t="shared" si="27"/>
        <v>116.22960488560126</v>
      </c>
      <c r="X27" s="3">
        <f t="shared" si="35"/>
        <v>114.28236725304133</v>
      </c>
      <c r="Y27" s="3">
        <f t="shared" si="36"/>
        <v>109.49904505108223</v>
      </c>
      <c r="Z27" s="3">
        <f t="shared" si="14"/>
        <v>106.07758782153225</v>
      </c>
      <c r="AA27" s="3">
        <f t="shared" si="34"/>
        <v>100</v>
      </c>
      <c r="AB27" s="3">
        <f t="shared" si="16"/>
        <v>93.837155719047558</v>
      </c>
      <c r="AC27" s="3">
        <f t="shared" ref="AC27:AC30" si="37">(($B27/$B$29)*100)</f>
        <v>89.195001877843012</v>
      </c>
      <c r="AD27" s="3">
        <f t="shared" si="18"/>
        <v>85.502155062605738</v>
      </c>
      <c r="AE27" s="3">
        <f t="shared" si="28"/>
        <v>81.726559537191605</v>
      </c>
      <c r="AF27" s="3">
        <f t="shared" si="29"/>
        <v>78.216236175792403</v>
      </c>
      <c r="AG27" s="3">
        <f t="shared" si="19"/>
        <v>73.327733235209649</v>
      </c>
      <c r="AH27" s="3">
        <f t="shared" si="30"/>
        <v>70.052295400430921</v>
      </c>
      <c r="AI27" s="3">
        <f t="shared" si="31"/>
        <v>67.45212904817754</v>
      </c>
      <c r="AJ27" s="3">
        <f t="shared" si="32"/>
        <v>64.487101878921251</v>
      </c>
      <c r="AK27" s="3">
        <f t="shared" si="33"/>
        <v>62.126302388170764</v>
      </c>
    </row>
    <row r="28" spans="1:37" x14ac:dyDescent="0.15">
      <c r="A28" s="6">
        <v>2017</v>
      </c>
      <c r="B28" s="3">
        <f>VLOOKUP('Original INEGI Base 1993-2025'!D30,'Original INEGI Base 1993-2025'!$A$6:$B$160,2,0)</f>
        <v>95.052968302400004</v>
      </c>
      <c r="D28" s="3">
        <f t="shared" si="20"/>
        <v>799.7209206696914</v>
      </c>
      <c r="E28" s="3">
        <f t="shared" si="21"/>
        <v>738.01798742725327</v>
      </c>
      <c r="F28" s="3">
        <f t="shared" si="22"/>
        <v>531.67789391285919</v>
      </c>
      <c r="G28" s="3">
        <f t="shared" si="23"/>
        <v>419.64596029967203</v>
      </c>
      <c r="H28" s="3">
        <f t="shared" si="24"/>
        <v>356.4365953274559</v>
      </c>
      <c r="I28" s="3">
        <f t="shared" si="25"/>
        <v>308.02691464302535</v>
      </c>
      <c r="J28" s="3">
        <f t="shared" si="26"/>
        <v>267.10836669452419</v>
      </c>
      <c r="K28" s="3">
        <f t="shared" si="0"/>
        <v>241.29474086345078</v>
      </c>
      <c r="L28" s="3">
        <f t="shared" si="1"/>
        <v>226.62526662082109</v>
      </c>
      <c r="M28" s="3">
        <f t="shared" si="2"/>
        <v>214.80594719049782</v>
      </c>
      <c r="N28" s="3">
        <f t="shared" si="3"/>
        <v>205.99024990462144</v>
      </c>
      <c r="O28" s="3">
        <f t="shared" si="4"/>
        <v>190.52452957152317</v>
      </c>
      <c r="P28" s="3">
        <f t="shared" si="5"/>
        <v>179.93536442214838</v>
      </c>
      <c r="Q28" s="3">
        <f t="shared" si="6"/>
        <v>169.57891811499923</v>
      </c>
      <c r="R28" s="3">
        <f t="shared" si="7"/>
        <v>159.78747385034652</v>
      </c>
      <c r="S28" s="3">
        <f t="shared" si="8"/>
        <v>150.30279393341769</v>
      </c>
      <c r="T28" s="3">
        <f t="shared" si="9"/>
        <v>142.81434867073901</v>
      </c>
      <c r="U28" s="3">
        <f t="shared" si="10"/>
        <v>136.83078705578072</v>
      </c>
      <c r="V28" s="3">
        <f t="shared" si="11"/>
        <v>129.48922248437856</v>
      </c>
      <c r="W28" s="3">
        <f t="shared" si="27"/>
        <v>123.86309452259792</v>
      </c>
      <c r="X28" s="3">
        <f t="shared" si="35"/>
        <v>121.78797021001746</v>
      </c>
      <c r="Y28" s="3">
        <f t="shared" si="36"/>
        <v>116.69049878166282</v>
      </c>
      <c r="Z28" s="3">
        <f t="shared" si="14"/>
        <v>113.04433410059131</v>
      </c>
      <c r="AA28" s="3">
        <f t="shared" si="34"/>
        <v>106.56759492945871</v>
      </c>
      <c r="AB28" s="3">
        <f t="shared" si="16"/>
        <v>100</v>
      </c>
      <c r="AC28" s="3">
        <f t="shared" si="37"/>
        <v>95.052968298502833</v>
      </c>
      <c r="AD28" s="3">
        <f t="shared" si="18"/>
        <v>91.117590263075357</v>
      </c>
      <c r="AE28" s="3">
        <f t="shared" si="28"/>
        <v>87.094028917377258</v>
      </c>
      <c r="AF28" s="3">
        <f t="shared" si="29"/>
        <v>83.353161736887188</v>
      </c>
      <c r="AG28" s="3">
        <f t="shared" si="19"/>
        <v>78.143601725052278</v>
      </c>
      <c r="AH28" s="3">
        <f t="shared" si="30"/>
        <v>74.653046401119056</v>
      </c>
      <c r="AI28" s="3">
        <f t="shared" si="31"/>
        <v>71.882111655357591</v>
      </c>
      <c r="AJ28" s="3">
        <f t="shared" si="32"/>
        <v>68.722353512076168</v>
      </c>
      <c r="AK28" s="3">
        <f t="shared" si="33"/>
        <v>66.206506273676453</v>
      </c>
    </row>
    <row r="29" spans="1:37" x14ac:dyDescent="0.15">
      <c r="A29" s="6">
        <v>2018</v>
      </c>
      <c r="B29" s="3">
        <f>VLOOKUP('Original INEGI Base 1993-2025'!D31,'Original INEGI Base 1993-2025'!$A$6:$B$160,2,0)</f>
        <v>100.0000000041</v>
      </c>
      <c r="D29" s="3">
        <f t="shared" si="20"/>
        <v>841.34239570326793</v>
      </c>
      <c r="E29" s="3">
        <f t="shared" si="21"/>
        <v>776.42813332203718</v>
      </c>
      <c r="F29" s="3">
        <f t="shared" si="22"/>
        <v>559.34906971362159</v>
      </c>
      <c r="G29" s="3">
        <f t="shared" si="23"/>
        <v>441.48643415513601</v>
      </c>
      <c r="H29" s="3">
        <f t="shared" si="24"/>
        <v>374.98733780528352</v>
      </c>
      <c r="I29" s="3">
        <f t="shared" si="25"/>
        <v>324.05817530674324</v>
      </c>
      <c r="J29" s="3">
        <f t="shared" si="26"/>
        <v>281.01002154472582</v>
      </c>
      <c r="K29" s="3">
        <f t="shared" si="0"/>
        <v>253.85292556639851</v>
      </c>
      <c r="L29" s="3">
        <f t="shared" si="1"/>
        <v>238.41997854199639</v>
      </c>
      <c r="M29" s="3">
        <f t="shared" si="2"/>
        <v>225.98552263609974</v>
      </c>
      <c r="N29" s="3">
        <f t="shared" si="3"/>
        <v>216.71101238809604</v>
      </c>
      <c r="O29" s="3">
        <f t="shared" si="4"/>
        <v>200.44037864572832</v>
      </c>
      <c r="P29" s="3">
        <f t="shared" si="5"/>
        <v>189.30010039989727</v>
      </c>
      <c r="Q29" s="3">
        <f t="shared" si="6"/>
        <v>178.40465284835324</v>
      </c>
      <c r="R29" s="3">
        <f t="shared" si="7"/>
        <v>168.10361287040766</v>
      </c>
      <c r="S29" s="3">
        <f t="shared" si="8"/>
        <v>158.12530279055483</v>
      </c>
      <c r="T29" s="3">
        <f t="shared" si="9"/>
        <v>150.24712139682697</v>
      </c>
      <c r="U29" s="3">
        <f t="shared" si="10"/>
        <v>143.95214531973321</v>
      </c>
      <c r="V29" s="3">
        <f t="shared" si="11"/>
        <v>136.22848902280742</v>
      </c>
      <c r="W29" s="3">
        <f t="shared" si="27"/>
        <v>130.30954923324458</v>
      </c>
      <c r="X29" s="3">
        <f t="shared" si="35"/>
        <v>128.12642507654937</v>
      </c>
      <c r="Y29" s="3">
        <f t="shared" si="36"/>
        <v>122.76365574950783</v>
      </c>
      <c r="Z29" s="3">
        <f t="shared" si="14"/>
        <v>118.92772642889878</v>
      </c>
      <c r="AA29" s="3">
        <f t="shared" si="34"/>
        <v>112.1139053698939</v>
      </c>
      <c r="AB29" s="3">
        <f t="shared" si="16"/>
        <v>105.20449996465295</v>
      </c>
      <c r="AC29" s="3">
        <f t="shared" si="37"/>
        <v>100</v>
      </c>
      <c r="AD29" s="3">
        <f t="shared" ref="AD29:AD37" si="38">(($B29/$B$30)*100)</f>
        <v>95.859805216109734</v>
      </c>
      <c r="AE29" s="3">
        <f t="shared" si="28"/>
        <v>91.626837621597005</v>
      </c>
      <c r="AF29" s="3">
        <f t="shared" si="29"/>
        <v>87.691277010020613</v>
      </c>
      <c r="AG29" s="3">
        <f t="shared" si="19"/>
        <v>82.21058544921118</v>
      </c>
      <c r="AH29" s="3">
        <f t="shared" si="30"/>
        <v>78.538364174677668</v>
      </c>
      <c r="AI29" s="3">
        <f t="shared" si="31"/>
        <v>75.623216131052473</v>
      </c>
      <c r="AJ29" s="3">
        <f t="shared" si="32"/>
        <v>72.299008376320856</v>
      </c>
      <c r="AK29" s="3">
        <f t="shared" si="33"/>
        <v>69.652223869287909</v>
      </c>
    </row>
    <row r="30" spans="1:37" x14ac:dyDescent="0.15">
      <c r="A30" s="6">
        <v>2019</v>
      </c>
      <c r="B30" s="3">
        <f>VLOOKUP('Original INEGI Base 1993-2025'!D32,'Original INEGI Base 1993-2025'!$A$6:$B$160,2,0)</f>
        <v>104.319010224</v>
      </c>
      <c r="D30" s="3">
        <f t="shared" si="20"/>
        <v>877.68005975655365</v>
      </c>
      <c r="E30" s="3">
        <f t="shared" si="21"/>
        <v>809.96214374901979</v>
      </c>
      <c r="F30" s="3">
        <f t="shared" si="22"/>
        <v>583.50741319847793</v>
      </c>
      <c r="G30" s="3">
        <f t="shared" si="23"/>
        <v>460.55427836498666</v>
      </c>
      <c r="H30" s="3">
        <f t="shared" si="24"/>
        <v>391.18307924776059</v>
      </c>
      <c r="I30" s="3">
        <f t="shared" si="25"/>
        <v>338.05428101608908</v>
      </c>
      <c r="J30" s="3">
        <f t="shared" si="26"/>
        <v>293.14687309368804</v>
      </c>
      <c r="K30" s="3">
        <f t="shared" si="0"/>
        <v>264.81685936467687</v>
      </c>
      <c r="L30" s="3">
        <f t="shared" si="1"/>
        <v>248.71736178108642</v>
      </c>
      <c r="M30" s="3">
        <f t="shared" si="2"/>
        <v>235.74586045384711</v>
      </c>
      <c r="N30" s="3">
        <f t="shared" si="3"/>
        <v>226.07078316040287</v>
      </c>
      <c r="O30" s="3">
        <f t="shared" si="4"/>
        <v>209.09741908388861</v>
      </c>
      <c r="P30" s="3">
        <f t="shared" si="5"/>
        <v>197.47599108211455</v>
      </c>
      <c r="Q30" s="3">
        <f t="shared" si="6"/>
        <v>186.10996803733482</v>
      </c>
      <c r="R30" s="3">
        <f t="shared" si="7"/>
        <v>175.36402509000402</v>
      </c>
      <c r="S30" s="3">
        <f t="shared" si="8"/>
        <v>164.9547507780467</v>
      </c>
      <c r="T30" s="3">
        <f t="shared" si="9"/>
        <v>156.73630992479542</v>
      </c>
      <c r="U30" s="3">
        <f t="shared" si="10"/>
        <v>150.16945318760284</v>
      </c>
      <c r="V30" s="3">
        <f t="shared" si="11"/>
        <v>142.11221138587658</v>
      </c>
      <c r="W30" s="3">
        <f t="shared" si="27"/>
        <v>135.93763198190328</v>
      </c>
      <c r="X30" s="3">
        <f t="shared" si="35"/>
        <v>133.66021846977117</v>
      </c>
      <c r="Y30" s="3">
        <f t="shared" si="36"/>
        <v>128.06583058743453</v>
      </c>
      <c r="Z30" s="3">
        <f t="shared" si="14"/>
        <v>124.06422708744702</v>
      </c>
      <c r="AA30" s="3">
        <f t="shared" si="34"/>
        <v>116.9561164005501</v>
      </c>
      <c r="AB30" s="3">
        <f t="shared" si="16"/>
        <v>109.7482930697347</v>
      </c>
      <c r="AC30" s="3">
        <f t="shared" si="37"/>
        <v>104.31901021972291</v>
      </c>
      <c r="AD30" s="3">
        <f t="shared" si="38"/>
        <v>100</v>
      </c>
      <c r="AE30" s="3">
        <f t="shared" si="28"/>
        <v>95.584210102482686</v>
      </c>
      <c r="AF30" s="3">
        <f t="shared" si="29"/>
        <v>91.478672225888928</v>
      </c>
      <c r="AG30" s="3">
        <f t="shared" si="19"/>
        <v>85.761269036456639</v>
      </c>
      <c r="AH30" s="3">
        <f t="shared" si="30"/>
        <v>81.930444149785203</v>
      </c>
      <c r="AI30" s="3">
        <f t="shared" si="31"/>
        <v>78.889390564235782</v>
      </c>
      <c r="AJ30" s="3">
        <f t="shared" si="32"/>
        <v>75.421609936852462</v>
      </c>
      <c r="AK30" s="3">
        <f t="shared" si="33"/>
        <v>72.660510536466745</v>
      </c>
    </row>
    <row r="31" spans="1:37" x14ac:dyDescent="0.15">
      <c r="A31" s="6">
        <v>2020</v>
      </c>
      <c r="B31" s="3">
        <f>VLOOKUP('Original INEGI Base 1993-2025'!D33,'Original INEGI Base 1993-2025'!$A$6:$B$160,2,0)</f>
        <v>109.13832955479999</v>
      </c>
      <c r="D31" s="3">
        <f t="shared" si="20"/>
        <v>918.22703646923446</v>
      </c>
      <c r="E31" s="3">
        <f t="shared" si="21"/>
        <v>847.38069486644406</v>
      </c>
      <c r="F31" s="3">
        <f t="shared" si="22"/>
        <v>610.46423104073119</v>
      </c>
      <c r="G31" s="3">
        <f t="shared" si="23"/>
        <v>481.83091942821238</v>
      </c>
      <c r="H31" s="3">
        <f t="shared" si="24"/>
        <v>409.25491650592198</v>
      </c>
      <c r="I31" s="3">
        <f t="shared" si="25"/>
        <v>353.67167930104438</v>
      </c>
      <c r="J31" s="3">
        <f t="shared" si="26"/>
        <v>306.68964338292301</v>
      </c>
      <c r="K31" s="3">
        <f t="shared" si="0"/>
        <v>277.05084247779808</v>
      </c>
      <c r="L31" s="3">
        <f t="shared" ref="L31:L37" si="39">(($B31/$B$12)*100)</f>
        <v>260.20758189497894</v>
      </c>
      <c r="M31" s="3">
        <f t="shared" ref="M31:M37" si="40">(($B31/$B$13)*100)</f>
        <v>246.63682443061154</v>
      </c>
      <c r="N31" s="3">
        <f t="shared" ref="N31:N37" si="41">(($B31/$B$14)*100)</f>
        <v>236.51477887196654</v>
      </c>
      <c r="O31" s="3">
        <f t="shared" ref="O31:O37" si="42">(($B31/$B$15)*100)</f>
        <v>218.75728099829485</v>
      </c>
      <c r="P31" s="3">
        <f t="shared" ref="P31:P37" si="43">(($B31/$B$16)*100)</f>
        <v>206.59896741353657</v>
      </c>
      <c r="Q31" s="3">
        <f t="shared" ref="Q31:Q37" si="44">(($B31/$B$17)*100)</f>
        <v>194.70785795874963</v>
      </c>
      <c r="R31" s="3">
        <f t="shared" ref="R31:R37" si="45">(($B31/$B$18)*100)</f>
        <v>183.4654750005086</v>
      </c>
      <c r="S31" s="3">
        <f t="shared" ref="S31:S37" si="46">(($B31/$B$19)*100)</f>
        <v>172.5753140620055</v>
      </c>
      <c r="T31" s="3">
        <f t="shared" ref="T31:T37" si="47">(($B31/$B$20)*100)</f>
        <v>163.97719848994637</v>
      </c>
      <c r="U31" s="3">
        <f t="shared" ref="U31:U37" si="48">(($B31/$B$21)*100)</f>
        <v>157.10696675381362</v>
      </c>
      <c r="V31" s="3">
        <f t="shared" ref="V31:V37" si="49">(($B31/$B$22)*100)</f>
        <v>148.67749729114033</v>
      </c>
      <c r="W31" s="3">
        <f t="shared" ref="W31:W37" si="50">(($B31/$B$23)*100)</f>
        <v>142.21766527772189</v>
      </c>
      <c r="X31" s="3">
        <f t="shared" ref="X31:X37" si="51">(($B31/$B$24)*100)</f>
        <v>139.83504004109511</v>
      </c>
      <c r="Y31" s="3">
        <f t="shared" ref="Y31:Y37" si="52">(($B31/$B$25)*100)</f>
        <v>133.98220317992474</v>
      </c>
      <c r="Z31" s="3">
        <f t="shared" ref="Z31:Z37" si="53">(($B31/$B$26)*100)</f>
        <v>129.79573399668089</v>
      </c>
      <c r="AA31" s="3">
        <f t="shared" ref="AA31:AA37" si="54">(($B31/$B$27)*100)</f>
        <v>122.35924351433469</v>
      </c>
      <c r="AB31" s="3">
        <f t="shared" ref="AB31:AB37" si="55">(($B31/$B$28)*100)</f>
        <v>114.81843387319483</v>
      </c>
      <c r="AC31" s="3">
        <f t="shared" ref="AC31:AC37" si="56">(($B31/$B$29)*100)</f>
        <v>109.13832955032532</v>
      </c>
      <c r="AD31" s="3">
        <f t="shared" si="38"/>
        <v>104.6197901230578</v>
      </c>
      <c r="AE31" s="3">
        <f t="shared" ref="AE31:AE37" si="57">(($B31/$B$31)*100)</f>
        <v>100</v>
      </c>
      <c r="AF31" s="3">
        <f t="shared" si="29"/>
        <v>95.704794890084969</v>
      </c>
      <c r="AG31" s="3">
        <f t="shared" si="19"/>
        <v>89.723259672811892</v>
      </c>
      <c r="AH31" s="3">
        <f t="shared" si="30"/>
        <v>85.715458716394338</v>
      </c>
      <c r="AI31" s="3">
        <f t="shared" si="31"/>
        <v>82.53391483766282</v>
      </c>
      <c r="AJ31" s="3">
        <f t="shared" si="32"/>
        <v>78.905930023366352</v>
      </c>
      <c r="AK31" s="3">
        <f t="shared" si="33"/>
        <v>76.017273625593802</v>
      </c>
    </row>
    <row r="32" spans="1:37" x14ac:dyDescent="0.15">
      <c r="A32" s="6">
        <v>2021</v>
      </c>
      <c r="B32" s="3">
        <f>VLOOKUP('Original INEGI Base 1993-2025'!D34,'Original INEGI Base 1993-2025'!$A$6:$B$160,2,0)</f>
        <v>114.0364280391</v>
      </c>
      <c r="C32" s="34"/>
      <c r="D32" s="3">
        <f>(($B32/$B$4)*100)</f>
        <v>959.43681559926017</v>
      </c>
      <c r="E32" s="3">
        <f t="shared" si="21"/>
        <v>885.41090949481043</v>
      </c>
      <c r="F32" s="3">
        <f t="shared" si="22"/>
        <v>637.86169934519694</v>
      </c>
      <c r="G32" s="3">
        <f t="shared" si="23"/>
        <v>503.45535976706861</v>
      </c>
      <c r="H32" s="3">
        <f t="shared" si="24"/>
        <v>427.62216561452647</v>
      </c>
      <c r="I32" s="3">
        <f t="shared" si="25"/>
        <v>369.54436787334345</v>
      </c>
      <c r="J32" s="3">
        <f t="shared" si="26"/>
        <v>320.45379098837202</v>
      </c>
      <c r="K32" s="3">
        <f t="shared" si="0"/>
        <v>289.48480877680731</v>
      </c>
      <c r="L32" s="3">
        <f t="shared" si="39"/>
        <v>271.88562724973406</v>
      </c>
      <c r="M32" s="3">
        <f t="shared" si="40"/>
        <v>257.70581788913398</v>
      </c>
      <c r="N32" s="3">
        <f t="shared" si="41"/>
        <v>247.12949768462389</v>
      </c>
      <c r="O32" s="3">
        <f t="shared" si="42"/>
        <v>228.57504814626398</v>
      </c>
      <c r="P32" s="3">
        <f t="shared" si="43"/>
        <v>215.87107276162217</v>
      </c>
      <c r="Q32" s="3">
        <f t="shared" si="44"/>
        <v>203.44629355547724</v>
      </c>
      <c r="R32" s="3">
        <f t="shared" si="45"/>
        <v>191.69935551423001</v>
      </c>
      <c r="S32" s="3">
        <f t="shared" si="46"/>
        <v>180.32044712096692</v>
      </c>
      <c r="T32" s="3">
        <f t="shared" si="47"/>
        <v>171.33645046548702</v>
      </c>
      <c r="U32" s="3">
        <f t="shared" si="48"/>
        <v>164.15788460154772</v>
      </c>
      <c r="V32" s="3">
        <f t="shared" si="49"/>
        <v>155.35010284687766</v>
      </c>
      <c r="W32" s="3">
        <f t="shared" si="50"/>
        <v>148.60035533335193</v>
      </c>
      <c r="X32" s="3">
        <f t="shared" si="51"/>
        <v>146.11079852550006</v>
      </c>
      <c r="Y32" s="3">
        <f t="shared" si="52"/>
        <v>139.99528794121613</v>
      </c>
      <c r="Z32" s="3">
        <f t="shared" si="53"/>
        <v>135.62093116206842</v>
      </c>
      <c r="AA32" s="3">
        <f t="shared" si="54"/>
        <v>127.85069301372185</v>
      </c>
      <c r="AB32" s="3">
        <f t="shared" si="55"/>
        <v>119.97145389116764</v>
      </c>
      <c r="AC32" s="3">
        <f t="shared" si="56"/>
        <v>114.0364280344245</v>
      </c>
      <c r="AD32" s="3">
        <f t="shared" si="38"/>
        <v>109.31509778920849</v>
      </c>
      <c r="AE32" s="3">
        <f t="shared" si="57"/>
        <v>104.48797274457147</v>
      </c>
      <c r="AF32" s="3">
        <f t="shared" ref="AF32:AF37" si="58">(($B32/$B$32)*100)</f>
        <v>100</v>
      </c>
      <c r="AG32" s="3">
        <f t="shared" si="19"/>
        <v>93.750015112468773</v>
      </c>
      <c r="AH32" s="3">
        <f t="shared" si="30"/>
        <v>89.56234514147053</v>
      </c>
      <c r="AI32" s="3">
        <f t="shared" si="31"/>
        <v>86.238014440604957</v>
      </c>
      <c r="AJ32" s="3">
        <f t="shared" si="32"/>
        <v>82.447206656665657</v>
      </c>
      <c r="AK32" s="3">
        <f t="shared" si="33"/>
        <v>79.428908147076754</v>
      </c>
    </row>
    <row r="33" spans="1:37" x14ac:dyDescent="0.15">
      <c r="A33" s="6">
        <v>2022</v>
      </c>
      <c r="B33" s="3">
        <f>VLOOKUP('Original INEGI Base 1993-2025'!D35,'Original INEGI Base 1993-2025'!$A$6:$B$160,2,0)</f>
        <v>121.6388369669</v>
      </c>
      <c r="C33" s="34"/>
      <c r="D33" s="3">
        <f t="shared" si="20"/>
        <v>1023.3991050009492</v>
      </c>
      <c r="E33" s="3">
        <f t="shared" si="21"/>
        <v>944.43815121801572</v>
      </c>
      <c r="F33" s="3">
        <f t="shared" si="22"/>
        <v>680.38570295692807</v>
      </c>
      <c r="G33" s="3">
        <f t="shared" si="23"/>
        <v>537.01896385092846</v>
      </c>
      <c r="H33" s="3">
        <f t="shared" si="24"/>
        <v>456.13023646078608</v>
      </c>
      <c r="I33" s="3">
        <f t="shared" si="25"/>
        <v>394.180595523119</v>
      </c>
      <c r="J33" s="3">
        <f t="shared" si="26"/>
        <v>341.81732195342505</v>
      </c>
      <c r="K33" s="3">
        <f t="shared" si="0"/>
        <v>308.7837462527574</v>
      </c>
      <c r="L33" s="3">
        <f t="shared" si="39"/>
        <v>290.01128898332655</v>
      </c>
      <c r="M33" s="3">
        <f t="shared" si="40"/>
        <v>274.88616143685192</v>
      </c>
      <c r="N33" s="3">
        <f t="shared" si="41"/>
        <v>263.60475503726673</v>
      </c>
      <c r="O33" s="3">
        <f t="shared" si="42"/>
        <v>243.81334538671817</v>
      </c>
      <c r="P33" s="3">
        <f t="shared" si="43"/>
        <v>230.26244049416826</v>
      </c>
      <c r="Q33" s="3">
        <f t="shared" si="44"/>
        <v>217.00934481067495</v>
      </c>
      <c r="R33" s="3">
        <f t="shared" si="45"/>
        <v>204.47927958652028</v>
      </c>
      <c r="S33" s="3">
        <f t="shared" si="46"/>
        <v>192.34177925693396</v>
      </c>
      <c r="T33" s="3">
        <f t="shared" si="47"/>
        <v>182.75885103585355</v>
      </c>
      <c r="U33" s="3">
        <f t="shared" si="48"/>
        <v>175.10171534864605</v>
      </c>
      <c r="V33" s="3">
        <f t="shared" si="49"/>
        <v>165.70674965812998</v>
      </c>
      <c r="W33" s="3">
        <f t="shared" si="50"/>
        <v>158.50702013762987</v>
      </c>
      <c r="X33" s="3">
        <f t="shared" si="51"/>
        <v>155.85149330399125</v>
      </c>
      <c r="Y33" s="3">
        <f t="shared" si="52"/>
        <v>149.32828306562774</v>
      </c>
      <c r="Z33" s="3">
        <f t="shared" si="53"/>
        <v>144.66230325335786</v>
      </c>
      <c r="AA33" s="3">
        <f t="shared" si="54"/>
        <v>136.37405056451846</v>
      </c>
      <c r="AB33" s="3">
        <f t="shared" si="55"/>
        <v>127.96953018859982</v>
      </c>
      <c r="AC33" s="3">
        <f t="shared" si="56"/>
        <v>121.6388369619128</v>
      </c>
      <c r="AD33" s="3">
        <f t="shared" si="38"/>
        <v>116.60275217883091</v>
      </c>
      <c r="AE33" s="3">
        <f t="shared" si="57"/>
        <v>111.45381962789097</v>
      </c>
      <c r="AF33" s="3">
        <f t="shared" si="58"/>
        <v>106.6666494720383</v>
      </c>
      <c r="AG33" s="3">
        <f t="shared" si="19"/>
        <v>100</v>
      </c>
      <c r="AH33" s="3">
        <f t="shared" si="30"/>
        <v>95.533152750989501</v>
      </c>
      <c r="AI33" s="3">
        <f t="shared" si="31"/>
        <v>91.987200575005872</v>
      </c>
      <c r="AJ33" s="3">
        <f t="shared" si="32"/>
        <v>87.943672923952604</v>
      </c>
      <c r="AK33" s="3">
        <f t="shared" si="33"/>
        <v>84.724155032709632</v>
      </c>
    </row>
    <row r="34" spans="1:37" x14ac:dyDescent="0.15">
      <c r="A34" s="6">
        <v>2023</v>
      </c>
      <c r="B34" s="3">
        <f>VLOOKUP('Original INEGI Base 1993-2025'!D36,'Original INEGI Base 1993-2025'!$A$6:$B$160,2,0)</f>
        <v>127.3263086836</v>
      </c>
      <c r="C34" s="34"/>
      <c r="D34" s="3">
        <f t="shared" si="20"/>
        <v>1071.2502157952169</v>
      </c>
      <c r="E34" s="3">
        <f t="shared" si="21"/>
        <v>988.59728169939785</v>
      </c>
      <c r="F34" s="3">
        <f t="shared" si="22"/>
        <v>712.19852309321061</v>
      </c>
      <c r="G34" s="3">
        <f t="shared" si="23"/>
        <v>562.12837992553966</v>
      </c>
      <c r="H34" s="3">
        <f t="shared" si="24"/>
        <v>477.45753523879341</v>
      </c>
      <c r="I34" s="3">
        <f t="shared" si="25"/>
        <v>412.61131258858842</v>
      </c>
      <c r="J34" s="3">
        <f t="shared" si="26"/>
        <v>357.79968744921865</v>
      </c>
      <c r="K34" s="3">
        <f t="shared" si="0"/>
        <v>323.22155959576986</v>
      </c>
      <c r="L34" s="3">
        <f t="shared" si="39"/>
        <v>303.57135782930879</v>
      </c>
      <c r="M34" s="3">
        <f t="shared" si="40"/>
        <v>287.73902412008982</v>
      </c>
      <c r="N34" s="3">
        <f t="shared" si="41"/>
        <v>275.93013257330858</v>
      </c>
      <c r="O34" s="3">
        <f t="shared" si="42"/>
        <v>255.21333523057294</v>
      </c>
      <c r="P34" s="3">
        <f t="shared" si="43"/>
        <v>241.0288301636557</v>
      </c>
      <c r="Q34" s="3">
        <f t="shared" si="44"/>
        <v>227.15605898228586</v>
      </c>
      <c r="R34" s="3">
        <f t="shared" si="45"/>
        <v>214.04012502288356</v>
      </c>
      <c r="S34" s="3">
        <f t="shared" si="46"/>
        <v>201.33511112972425</v>
      </c>
      <c r="T34" s="3">
        <f t="shared" si="47"/>
        <v>191.30411357010365</v>
      </c>
      <c r="U34" s="3">
        <f t="shared" si="48"/>
        <v>183.28895289895308</v>
      </c>
      <c r="V34" s="3">
        <f t="shared" si="49"/>
        <v>173.45470644107229</v>
      </c>
      <c r="W34" s="3">
        <f t="shared" si="50"/>
        <v>165.91833889412607</v>
      </c>
      <c r="X34" s="3">
        <f t="shared" si="51"/>
        <v>163.13864749154004</v>
      </c>
      <c r="Y34" s="3">
        <f t="shared" si="52"/>
        <v>156.31043126448168</v>
      </c>
      <c r="Z34" s="3">
        <f t="shared" si="53"/>
        <v>151.42628405703852</v>
      </c>
      <c r="AA34" s="3">
        <f t="shared" si="54"/>
        <v>142.75049722265754</v>
      </c>
      <c r="AB34" s="3">
        <f t="shared" si="55"/>
        <v>133.95300636853983</v>
      </c>
      <c r="AC34" s="3">
        <f t="shared" si="56"/>
        <v>127.32630867837962</v>
      </c>
      <c r="AD34" s="3">
        <f t="shared" si="38"/>
        <v>122.05475148795735</v>
      </c>
      <c r="AE34" s="3">
        <f t="shared" si="57"/>
        <v>116.66507010231226</v>
      </c>
      <c r="AF34" s="3">
        <f t="shared" si="58"/>
        <v>111.65406604979179</v>
      </c>
      <c r="AG34" s="3">
        <f t="shared" si="19"/>
        <v>104.67570379536566</v>
      </c>
      <c r="AH34" s="3">
        <f t="shared" si="30"/>
        <v>100</v>
      </c>
      <c r="AI34" s="3">
        <f t="shared" si="31"/>
        <v>96.288249603542056</v>
      </c>
      <c r="AJ34" s="3">
        <f t="shared" si="32"/>
        <v>92.055658576641818</v>
      </c>
      <c r="AK34" s="3">
        <f t="shared" si="33"/>
        <v>88.685605565165531</v>
      </c>
    </row>
    <row r="35" spans="1:37" x14ac:dyDescent="0.15">
      <c r="A35" s="6">
        <v>2024</v>
      </c>
      <c r="B35" s="3">
        <f>VLOOKUP('Original INEGI Base 1993-2025'!D37,'Original INEGI Base 1993-2025'!$A$6:$B$160,2,0)</f>
        <v>132.23452415829999</v>
      </c>
      <c r="C35" s="34"/>
      <c r="D35" s="3">
        <f t="shared" si="20"/>
        <v>1112.5451134546433</v>
      </c>
      <c r="E35" s="3">
        <f t="shared" si="21"/>
        <v>1026.706047487472</v>
      </c>
      <c r="F35" s="3">
        <f t="shared" si="22"/>
        <v>739.6525806893593</v>
      </c>
      <c r="G35" s="3">
        <f t="shared" si="23"/>
        <v>583.79748540455478</v>
      </c>
      <c r="H35" s="3">
        <f t="shared" si="24"/>
        <v>495.8627217803633</v>
      </c>
      <c r="I35" s="3">
        <f t="shared" si="25"/>
        <v>428.51678609537231</v>
      </c>
      <c r="J35" s="3">
        <f t="shared" si="26"/>
        <v>371.59226481156912</v>
      </c>
      <c r="K35" s="3">
        <f t="shared" si="0"/>
        <v>335.6812081708876</v>
      </c>
      <c r="L35" s="3">
        <f t="shared" si="39"/>
        <v>315.27352411040368</v>
      </c>
      <c r="M35" s="3">
        <f t="shared" si="40"/>
        <v>298.83088051224172</v>
      </c>
      <c r="N35" s="3">
        <f t="shared" si="41"/>
        <v>286.56677601828403</v>
      </c>
      <c r="O35" s="3">
        <f t="shared" si="42"/>
        <v>265.0513809124065</v>
      </c>
      <c r="P35" s="3">
        <f t="shared" si="43"/>
        <v>250.32008698472515</v>
      </c>
      <c r="Q35" s="3">
        <f t="shared" si="44"/>
        <v>235.91254376061448</v>
      </c>
      <c r="R35" s="3">
        <f t="shared" si="45"/>
        <v>222.2910125629804</v>
      </c>
      <c r="S35" s="3">
        <f t="shared" si="46"/>
        <v>209.09624171038828</v>
      </c>
      <c r="T35" s="3">
        <f t="shared" si="47"/>
        <v>198.67856603249166</v>
      </c>
      <c r="U35" s="3">
        <f t="shared" si="48"/>
        <v>190.35443437140916</v>
      </c>
      <c r="V35" s="3">
        <f t="shared" si="49"/>
        <v>180.14109421996554</v>
      </c>
      <c r="W35" s="3">
        <f t="shared" si="50"/>
        <v>172.31421235434175</v>
      </c>
      <c r="X35" s="3">
        <f t="shared" si="51"/>
        <v>169.42736851406929</v>
      </c>
      <c r="Y35" s="3">
        <f t="shared" si="52"/>
        <v>162.3359360130394</v>
      </c>
      <c r="Z35" s="3">
        <f t="shared" si="53"/>
        <v>157.26351312909125</v>
      </c>
      <c r="AA35" s="3">
        <f t="shared" si="54"/>
        <v>148.25328927508755</v>
      </c>
      <c r="AB35" s="3">
        <f t="shared" si="55"/>
        <v>139.11666991567392</v>
      </c>
      <c r="AC35" s="3">
        <f t="shared" si="56"/>
        <v>132.23452415287838</v>
      </c>
      <c r="AD35" s="3">
        <f t="shared" si="38"/>
        <v>126.75975728139879</v>
      </c>
      <c r="AE35" s="3">
        <f t="shared" si="57"/>
        <v>121.16231272524934</v>
      </c>
      <c r="AF35" s="3">
        <f t="shared" si="58"/>
        <v>115.95814287778319</v>
      </c>
      <c r="AG35" s="3">
        <f t="shared" si="19"/>
        <v>108.71077647205986</v>
      </c>
      <c r="AH35" s="3">
        <f t="shared" si="30"/>
        <v>103.8548321438397</v>
      </c>
      <c r="AI35" s="3">
        <f t="shared" si="31"/>
        <v>100</v>
      </c>
      <c r="AJ35" s="3">
        <f t="shared" si="32"/>
        <v>95.604249693677545</v>
      </c>
      <c r="AK35" s="3">
        <f t="shared" si="33"/>
        <v>92.104286795450435</v>
      </c>
    </row>
    <row r="36" spans="1:37" x14ac:dyDescent="0.15">
      <c r="A36" s="6">
        <v>2025</v>
      </c>
      <c r="B36" s="3">
        <f>VLOOKUP('Original INEGI Base 1993-2025'!D38,'Original INEGI Base 1993-2025'!$A$6:$B$160,2,0)</f>
        <v>138.31448348999999</v>
      </c>
      <c r="D36" s="3">
        <f t="shared" si="20"/>
        <v>1163.698388951655</v>
      </c>
      <c r="E36" s="3">
        <f t="shared" si="21"/>
        <v>1073.9125622313936</v>
      </c>
      <c r="F36" s="3">
        <f t="shared" si="22"/>
        <v>773.66077664879538</v>
      </c>
      <c r="G36" s="3">
        <f t="shared" si="23"/>
        <v>610.63968105505899</v>
      </c>
      <c r="H36" s="3">
        <f t="shared" si="24"/>
        <v>518.66179941701421</v>
      </c>
      <c r="I36" s="3">
        <f t="shared" si="25"/>
        <v>448.21939136426357</v>
      </c>
      <c r="J36" s="3">
        <f t="shared" si="26"/>
        <v>388.67755983878936</v>
      </c>
      <c r="K36" s="3">
        <f t="shared" si="0"/>
        <v>351.11536280702251</v>
      </c>
      <c r="L36" s="3">
        <f t="shared" si="39"/>
        <v>329.7693618438106</v>
      </c>
      <c r="M36" s="3">
        <f t="shared" si="40"/>
        <v>312.57070838348295</v>
      </c>
      <c r="N36" s="3">
        <f t="shared" si="41"/>
        <v>299.7427174382554</v>
      </c>
      <c r="O36" s="3">
        <f t="shared" si="42"/>
        <v>277.23807441787255</v>
      </c>
      <c r="P36" s="3">
        <f t="shared" si="43"/>
        <v>261.82945610343427</v>
      </c>
      <c r="Q36" s="3">
        <f t="shared" si="44"/>
        <v>246.75947409921019</v>
      </c>
      <c r="R36" s="3">
        <f t="shared" si="45"/>
        <v>232.51164386020054</v>
      </c>
      <c r="S36" s="3">
        <f t="shared" si="46"/>
        <v>218.71019581278733</v>
      </c>
      <c r="T36" s="3">
        <f t="shared" si="47"/>
        <v>207.81352991009413</v>
      </c>
      <c r="U36" s="3">
        <f t="shared" si="48"/>
        <v>199.10666626359978</v>
      </c>
      <c r="V36" s="3">
        <f t="shared" si="49"/>
        <v>188.42373095040205</v>
      </c>
      <c r="W36" s="3">
        <f t="shared" si="50"/>
        <v>180.23697995271976</v>
      </c>
      <c r="X36" s="3">
        <f t="shared" si="51"/>
        <v>177.21740305156516</v>
      </c>
      <c r="Y36" s="3">
        <f t="shared" si="52"/>
        <v>169.79991635641164</v>
      </c>
      <c r="Z36" s="3">
        <f t="shared" si="53"/>
        <v>164.49427052978726</v>
      </c>
      <c r="AA36" s="3">
        <f t="shared" si="54"/>
        <v>155.06976912647826</v>
      </c>
      <c r="AB36" s="3">
        <f t="shared" si="55"/>
        <v>145.51306072838094</v>
      </c>
      <c r="AC36" s="3">
        <f t="shared" si="56"/>
        <v>138.31448348432909</v>
      </c>
      <c r="AD36" s="3">
        <f t="shared" si="38"/>
        <v>132.58799445374615</v>
      </c>
      <c r="AE36" s="3">
        <f t="shared" si="57"/>
        <v>126.73318718933682</v>
      </c>
      <c r="AF36" s="3">
        <f t="shared" si="58"/>
        <v>121.28973685722224</v>
      </c>
      <c r="AG36" s="3">
        <f t="shared" si="19"/>
        <v>113.70914663351945</v>
      </c>
      <c r="AH36" s="3">
        <f t="shared" si="30"/>
        <v>108.62993274524678</v>
      </c>
      <c r="AI36" s="3">
        <f t="shared" si="31"/>
        <v>104.59786078590308</v>
      </c>
      <c r="AJ36" s="3">
        <f t="shared" si="32"/>
        <v>100</v>
      </c>
      <c r="AK36" s="3">
        <f t="shared" si="33"/>
        <v>96.339113680154142</v>
      </c>
    </row>
    <row r="37" spans="1:37" x14ac:dyDescent="0.15">
      <c r="A37" s="6">
        <v>2026</v>
      </c>
      <c r="B37" s="3">
        <f>B36*(1+C46)</f>
        <v>143.57043386261998</v>
      </c>
      <c r="D37" s="3">
        <f t="shared" si="20"/>
        <v>1207.9189277318178</v>
      </c>
      <c r="E37" s="3">
        <f t="shared" si="21"/>
        <v>1114.7212395961865</v>
      </c>
      <c r="F37" s="3">
        <f t="shared" si="22"/>
        <v>803.05988616144964</v>
      </c>
      <c r="G37" s="3">
        <f t="shared" si="23"/>
        <v>633.84398893515129</v>
      </c>
      <c r="H37" s="3">
        <f t="shared" si="24"/>
        <v>538.37094779486074</v>
      </c>
      <c r="I37" s="3">
        <f t="shared" si="25"/>
        <v>465.25172823610558</v>
      </c>
      <c r="J37" s="3">
        <f t="shared" si="26"/>
        <v>403.44730711266334</v>
      </c>
      <c r="K37" s="3">
        <f t="shared" si="0"/>
        <v>364.45774659368936</v>
      </c>
      <c r="L37" s="3">
        <f t="shared" si="39"/>
        <v>342.30059759387535</v>
      </c>
      <c r="M37" s="3">
        <f t="shared" si="40"/>
        <v>324.44839530205525</v>
      </c>
      <c r="N37" s="3">
        <f t="shared" si="41"/>
        <v>311.1329407009091</v>
      </c>
      <c r="O37" s="3">
        <f t="shared" si="42"/>
        <v>287.77312124575172</v>
      </c>
      <c r="P37" s="3">
        <f t="shared" si="43"/>
        <v>271.77897543536477</v>
      </c>
      <c r="Q37" s="3">
        <f t="shared" si="44"/>
        <v>256.13633411498017</v>
      </c>
      <c r="R37" s="3">
        <f t="shared" si="45"/>
        <v>241.34708632688816</v>
      </c>
      <c r="S37" s="3">
        <f t="shared" si="46"/>
        <v>227.02118325367323</v>
      </c>
      <c r="T37" s="3">
        <f t="shared" si="47"/>
        <v>215.71044404667768</v>
      </c>
      <c r="U37" s="3">
        <f t="shared" si="48"/>
        <v>206.67271958161658</v>
      </c>
      <c r="V37" s="3">
        <f t="shared" si="49"/>
        <v>195.5838327265173</v>
      </c>
      <c r="W37" s="3">
        <f t="shared" si="50"/>
        <v>187.08598519092311</v>
      </c>
      <c r="X37" s="3">
        <f t="shared" si="51"/>
        <v>183.95166436752464</v>
      </c>
      <c r="Y37" s="3">
        <f t="shared" si="52"/>
        <v>176.25231317795527</v>
      </c>
      <c r="Z37" s="3">
        <f t="shared" si="53"/>
        <v>170.74505280991917</v>
      </c>
      <c r="AA37" s="3">
        <f t="shared" si="54"/>
        <v>160.96242035328441</v>
      </c>
      <c r="AB37" s="3">
        <f t="shared" si="55"/>
        <v>151.04255703605941</v>
      </c>
      <c r="AC37" s="3">
        <f t="shared" si="56"/>
        <v>143.57043385673359</v>
      </c>
      <c r="AD37" s="3">
        <f t="shared" si="38"/>
        <v>137.62633824298848</v>
      </c>
      <c r="AE37" s="3">
        <f t="shared" si="57"/>
        <v>131.54904830253159</v>
      </c>
      <c r="AF37" s="3">
        <f t="shared" si="58"/>
        <v>125.89874685779667</v>
      </c>
      <c r="AG37" s="3">
        <f t="shared" si="19"/>
        <v>118.03009420559319</v>
      </c>
      <c r="AH37" s="3">
        <f t="shared" si="30"/>
        <v>112.75787018956613</v>
      </c>
      <c r="AI37" s="3">
        <f t="shared" si="31"/>
        <v>108.57257949576737</v>
      </c>
      <c r="AJ37" s="3">
        <f t="shared" si="32"/>
        <v>103.8</v>
      </c>
      <c r="AK37" s="3">
        <f t="shared" si="33"/>
        <v>100</v>
      </c>
    </row>
    <row r="38" spans="1:37" x14ac:dyDescent="0.15">
      <c r="A38" s="38"/>
      <c r="B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</row>
    <row r="39" spans="1:37" x14ac:dyDescent="0.15">
      <c r="G39" s="32"/>
      <c r="K39" s="10"/>
      <c r="L39" s="10"/>
      <c r="M39" s="10"/>
      <c r="N39" s="10"/>
      <c r="O39" s="10"/>
      <c r="P39" s="10"/>
      <c r="Q39" s="10"/>
      <c r="R39" s="10"/>
      <c r="S39" s="10"/>
    </row>
    <row r="40" spans="1:37" x14ac:dyDescent="0.15">
      <c r="A40" s="8" t="s">
        <v>191</v>
      </c>
    </row>
    <row r="41" spans="1:37" x14ac:dyDescent="0.15">
      <c r="B41" s="5" t="s">
        <v>44</v>
      </c>
    </row>
    <row r="42" spans="1:37" x14ac:dyDescent="0.15">
      <c r="B42" s="5" t="s">
        <v>193</v>
      </c>
    </row>
    <row r="43" spans="1:37" x14ac:dyDescent="0.15">
      <c r="A43" s="8"/>
      <c r="B43" s="9"/>
    </row>
    <row r="44" spans="1:37" x14ac:dyDescent="0.15">
      <c r="A44" s="8" t="s">
        <v>192</v>
      </c>
      <c r="B44" s="14"/>
      <c r="C44" s="20"/>
      <c r="D44" s="20"/>
      <c r="E44" s="20"/>
      <c r="F44" s="20"/>
      <c r="G44" s="20"/>
      <c r="H44" s="20"/>
      <c r="I44" s="20"/>
      <c r="J44" s="20"/>
      <c r="K44" s="11"/>
      <c r="L44" s="11"/>
      <c r="M44" s="11"/>
    </row>
    <row r="45" spans="1:37" x14ac:dyDescent="0.15">
      <c r="A45" s="8"/>
      <c r="B45" s="35" t="s">
        <v>185</v>
      </c>
      <c r="C45" s="20"/>
      <c r="D45" s="20"/>
      <c r="E45" s="20"/>
      <c r="F45" s="20"/>
      <c r="G45" s="20"/>
      <c r="H45" s="20"/>
      <c r="I45" s="20"/>
      <c r="J45" s="20"/>
      <c r="K45" s="11"/>
      <c r="L45" s="11"/>
      <c r="M45" s="11"/>
    </row>
    <row r="46" spans="1:37" x14ac:dyDescent="0.15">
      <c r="A46" s="8"/>
      <c r="B46" s="22">
        <v>2026</v>
      </c>
      <c r="C46" s="33">
        <v>3.7999999999999999E-2</v>
      </c>
      <c r="D46" s="20"/>
      <c r="E46" s="20"/>
      <c r="F46" s="20"/>
      <c r="G46" s="20"/>
      <c r="H46" s="20"/>
      <c r="I46" s="20"/>
      <c r="J46" s="20"/>
      <c r="K46" s="11"/>
      <c r="L46" s="11"/>
      <c r="M46" s="11"/>
    </row>
    <row r="47" spans="1:37" x14ac:dyDescent="0.15">
      <c r="A47" s="14"/>
      <c r="B47" s="22"/>
      <c r="C47" s="25"/>
      <c r="D47" s="25"/>
      <c r="E47" s="25"/>
      <c r="F47" s="25"/>
      <c r="G47" s="25"/>
      <c r="H47" s="25"/>
      <c r="I47" s="25"/>
      <c r="J47" s="25"/>
      <c r="K47" s="11"/>
      <c r="L47" s="11"/>
      <c r="M47" s="11"/>
    </row>
    <row r="48" spans="1:37" x14ac:dyDescent="0.15">
      <c r="A48" s="1"/>
      <c r="B48" s="1">
        <v>1993</v>
      </c>
      <c r="C48" s="1">
        <v>1994</v>
      </c>
      <c r="D48" s="1">
        <v>1995</v>
      </c>
      <c r="E48" s="1">
        <v>1996</v>
      </c>
      <c r="F48" s="1">
        <v>1997</v>
      </c>
      <c r="G48" s="1">
        <v>1998</v>
      </c>
      <c r="H48" s="1">
        <v>1999</v>
      </c>
      <c r="I48" s="1">
        <v>2000</v>
      </c>
      <c r="J48" s="1">
        <v>2001</v>
      </c>
      <c r="K48" s="1">
        <v>2002</v>
      </c>
      <c r="L48" s="1">
        <v>2003</v>
      </c>
      <c r="M48" s="1">
        <v>2004</v>
      </c>
      <c r="N48" s="1">
        <v>2005</v>
      </c>
      <c r="O48" s="1">
        <v>2006</v>
      </c>
      <c r="P48" s="1">
        <v>2007</v>
      </c>
      <c r="Q48" s="1">
        <v>2008</v>
      </c>
      <c r="R48" s="1">
        <v>2009</v>
      </c>
      <c r="S48" s="1">
        <v>2010</v>
      </c>
      <c r="T48" s="1">
        <v>2011</v>
      </c>
      <c r="U48" s="1">
        <v>2012</v>
      </c>
      <c r="V48" s="1">
        <v>2013</v>
      </c>
      <c r="W48" s="1">
        <v>2014</v>
      </c>
      <c r="X48" s="1">
        <v>2015</v>
      </c>
      <c r="Y48" s="1">
        <v>2016</v>
      </c>
      <c r="Z48" s="1">
        <v>2017</v>
      </c>
      <c r="AA48" s="1">
        <v>2018</v>
      </c>
      <c r="AB48" s="1">
        <v>2019</v>
      </c>
      <c r="AC48" s="1">
        <v>2020</v>
      </c>
      <c r="AD48" s="1">
        <v>2021</v>
      </c>
      <c r="AE48" s="1">
        <v>2022</v>
      </c>
      <c r="AF48" s="1">
        <v>2023</v>
      </c>
      <c r="AG48" s="1">
        <v>2024</v>
      </c>
      <c r="AH48" s="1">
        <v>2025</v>
      </c>
      <c r="AI48" s="1">
        <v>2026</v>
      </c>
    </row>
    <row r="49" spans="1:35" x14ac:dyDescent="0.15">
      <c r="A49" s="2" t="s">
        <v>152</v>
      </c>
      <c r="B49" s="3">
        <f>D4</f>
        <v>100</v>
      </c>
      <c r="C49" s="3">
        <f>D5</f>
        <v>108.36062728735595</v>
      </c>
      <c r="D49" s="3">
        <f>D6</f>
        <v>150.414551709905</v>
      </c>
      <c r="E49" s="3">
        <f>D7</f>
        <v>190.57038464009167</v>
      </c>
      <c r="F49" s="3">
        <f>D8</f>
        <v>224.36554808155802</v>
      </c>
      <c r="G49" s="3">
        <f>D9</f>
        <v>259.62696201287923</v>
      </c>
      <c r="H49" s="3">
        <f>D10</f>
        <v>299.39942749314332</v>
      </c>
      <c r="I49" s="3">
        <f>D11</f>
        <v>331.4290720999407</v>
      </c>
      <c r="J49" s="3">
        <f>D12</f>
        <v>352.88250625988115</v>
      </c>
      <c r="K49" s="3">
        <f>D13</f>
        <v>372.29924549550276</v>
      </c>
      <c r="L49" s="3">
        <f>D14</f>
        <v>388.2324144176639</v>
      </c>
      <c r="M49" s="3">
        <f>D15</f>
        <v>419.74695986296871</v>
      </c>
      <c r="N49" s="3">
        <f>D16</f>
        <v>444.44899602584911</v>
      </c>
      <c r="O49" s="3">
        <f>D17</f>
        <v>471.59218230615431</v>
      </c>
      <c r="P49" s="3">
        <f>D18</f>
        <v>500.49037099033973</v>
      </c>
      <c r="Q49" s="3">
        <f>D19</f>
        <v>532.0732234850924</v>
      </c>
      <c r="R49" s="3">
        <f>D20</f>
        <v>559.97238940847751</v>
      </c>
      <c r="S49" s="3">
        <f>D21</f>
        <v>584.45978268302702</v>
      </c>
      <c r="T49" s="3">
        <f>D22</f>
        <v>617.59651137465823</v>
      </c>
      <c r="U49" s="3">
        <f>D23</f>
        <v>645.64907226969717</v>
      </c>
      <c r="V49" s="3">
        <f>D24</f>
        <v>656.65017594973585</v>
      </c>
      <c r="W49" s="3">
        <f>D25</f>
        <v>685.3350778507106</v>
      </c>
      <c r="X49" s="3">
        <f>D26</f>
        <v>707.44007387231647</v>
      </c>
      <c r="Y49" s="3">
        <f>D27</f>
        <v>750.43536564661906</v>
      </c>
      <c r="Z49" s="3">
        <f>D28</f>
        <v>799.7209206696914</v>
      </c>
      <c r="AA49" s="3">
        <f>D29</f>
        <v>841.34239570326793</v>
      </c>
      <c r="AB49" s="3">
        <f>D30</f>
        <v>877.68005975655365</v>
      </c>
      <c r="AC49" s="3">
        <f>D31</f>
        <v>918.22703646923446</v>
      </c>
      <c r="AD49" s="3">
        <f>D32</f>
        <v>959.43681559926017</v>
      </c>
      <c r="AE49" s="3">
        <f>D33</f>
        <v>1023.3991050009492</v>
      </c>
      <c r="AF49" s="3">
        <f>D34</f>
        <v>1071.2502157952169</v>
      </c>
      <c r="AG49" s="3">
        <f>D35</f>
        <v>1112.5451134546433</v>
      </c>
      <c r="AH49" s="3">
        <f>D36</f>
        <v>1163.698388951655</v>
      </c>
      <c r="AI49" s="3">
        <f>D37</f>
        <v>1207.9189277318178</v>
      </c>
    </row>
    <row r="50" spans="1:35" x14ac:dyDescent="0.15">
      <c r="A50" s="2" t="s">
        <v>151</v>
      </c>
      <c r="B50" s="3">
        <f>E4</f>
        <v>92.284441778668523</v>
      </c>
      <c r="C50" s="3">
        <f>E5</f>
        <v>100</v>
      </c>
      <c r="D50" s="3">
        <f>E6</f>
        <v>138.80922939937255</v>
      </c>
      <c r="E50" s="3">
        <f>E7</f>
        <v>175.86681566057007</v>
      </c>
      <c r="F50" s="3">
        <f>E8</f>
        <v>207.05449359071596</v>
      </c>
      <c r="G50" s="3">
        <f>E9</f>
        <v>239.59529260050138</v>
      </c>
      <c r="H50" s="3">
        <f>E10</f>
        <v>276.29909035057676</v>
      </c>
      <c r="I50" s="3">
        <f>E11</f>
        <v>305.85746907965114</v>
      </c>
      <c r="J50" s="3">
        <f>E12</f>
        <v>325.65565103650636</v>
      </c>
      <c r="K50" s="3">
        <f>E13</f>
        <v>343.5742804517194</v>
      </c>
      <c r="L50" s="3">
        <f>E14</f>
        <v>358.27811644918819</v>
      </c>
      <c r="M50" s="3">
        <f>E15</f>
        <v>387.3611387924725</v>
      </c>
      <c r="N50" s="3">
        <f>E16</f>
        <v>410.15727497335155</v>
      </c>
      <c r="O50" s="3">
        <f>E17</f>
        <v>435.20621291307532</v>
      </c>
      <c r="P50" s="3">
        <f>E18</f>
        <v>461.87474502442217</v>
      </c>
      <c r="Q50" s="3">
        <f>E19</f>
        <v>491.02080414698497</v>
      </c>
      <c r="R50" s="3">
        <f>E20</f>
        <v>516.76739368028541</v>
      </c>
      <c r="S50" s="3">
        <f>E21</f>
        <v>539.36544786985064</v>
      </c>
      <c r="T50" s="3">
        <f>E22</f>
        <v>569.94549296663445</v>
      </c>
      <c r="U50" s="3">
        <f>E23</f>
        <v>595.8336421932421</v>
      </c>
      <c r="V50" s="3">
        <f>E24</f>
        <v>605.98594931385833</v>
      </c>
      <c r="W50" s="3">
        <f>E25</f>
        <v>632.45765090793157</v>
      </c>
      <c r="X50" s="3">
        <f>E26</f>
        <v>652.8571230916674</v>
      </c>
      <c r="Y50" s="3">
        <f>E27</f>
        <v>692.53508809669245</v>
      </c>
      <c r="Z50" s="3">
        <f>E28</f>
        <v>738.01798742725327</v>
      </c>
      <c r="AA50" s="3">
        <f>E29</f>
        <v>776.42813332203718</v>
      </c>
      <c r="AB50" s="3">
        <f>E30</f>
        <v>809.96214374901979</v>
      </c>
      <c r="AC50" s="3">
        <f>E31</f>
        <v>847.38069486644406</v>
      </c>
      <c r="AD50" s="3">
        <f>E32</f>
        <v>885.41090949481043</v>
      </c>
      <c r="AE50" s="3">
        <f>E33</f>
        <v>944.43815121801572</v>
      </c>
      <c r="AF50" s="3">
        <f>E34</f>
        <v>988.59728169939785</v>
      </c>
      <c r="AG50" s="3">
        <f>E35</f>
        <v>1026.706047487472</v>
      </c>
      <c r="AH50" s="3">
        <f>E36</f>
        <v>1073.9125622313936</v>
      </c>
      <c r="AI50" s="3">
        <f>E37</f>
        <v>1114.7212395961865</v>
      </c>
    </row>
    <row r="51" spans="1:35" x14ac:dyDescent="0.15">
      <c r="A51" s="2" t="s">
        <v>150</v>
      </c>
      <c r="B51" s="3">
        <f>F4</f>
        <v>66.482929253323604</v>
      </c>
      <c r="C51" s="3">
        <f>F5</f>
        <v>72.041319177910538</v>
      </c>
      <c r="D51" s="3">
        <f>F6</f>
        <v>100</v>
      </c>
      <c r="E51" s="3">
        <f>F7</f>
        <v>126.69677399805883</v>
      </c>
      <c r="F51" s="3">
        <f>F8</f>
        <v>149.164788599894</v>
      </c>
      <c r="G51" s="3">
        <f>F9</f>
        <v>172.60760947757586</v>
      </c>
      <c r="H51" s="3">
        <f>F10</f>
        <v>199.04950956512241</v>
      </c>
      <c r="I51" s="3">
        <f>F11</f>
        <v>220.34375552915049</v>
      </c>
      <c r="J51" s="3">
        <f>F12</f>
        <v>234.60662698411204</v>
      </c>
      <c r="K51" s="3">
        <f>F13</f>
        <v>247.51544399343265</v>
      </c>
      <c r="L51" s="3">
        <f>F14</f>
        <v>258.10828141576565</v>
      </c>
      <c r="M51" s="3">
        <f>F15</f>
        <v>279.06007436867412</v>
      </c>
      <c r="N51" s="3">
        <f>F16</f>
        <v>295.48271159497233</v>
      </c>
      <c r="O51" s="3">
        <f>F17</f>
        <v>313.52829692680547</v>
      </c>
      <c r="P51" s="3">
        <f>F18</f>
        <v>332.74065926520444</v>
      </c>
      <c r="Q51" s="3">
        <f>F19</f>
        <v>353.73786474547239</v>
      </c>
      <c r="R51" s="3">
        <f>F20</f>
        <v>372.2860474885839</v>
      </c>
      <c r="S51" s="3">
        <f>F21</f>
        <v>388.56598383528575</v>
      </c>
      <c r="T51" s="3">
        <f>F22</f>
        <v>410.5962517282087</v>
      </c>
      <c r="U51" s="3">
        <f>F23</f>
        <v>429.24641594180298</v>
      </c>
      <c r="V51" s="3">
        <f>F24</f>
        <v>436.5602719184879</v>
      </c>
      <c r="W51" s="3">
        <f>F25</f>
        <v>455.63083495569822</v>
      </c>
      <c r="X51" s="3">
        <f>F26</f>
        <v>470.32688382219237</v>
      </c>
      <c r="Y51" s="3">
        <f>F27</f>
        <v>498.91141323476216</v>
      </c>
      <c r="Z51" s="3">
        <f>F28</f>
        <v>531.67789391285919</v>
      </c>
      <c r="AA51" s="3">
        <f>F29</f>
        <v>559.34906971362159</v>
      </c>
      <c r="AB51" s="3">
        <f>F30</f>
        <v>583.50741319847793</v>
      </c>
      <c r="AC51" s="3">
        <f>F31</f>
        <v>610.46423104073119</v>
      </c>
      <c r="AD51" s="3">
        <f>F32</f>
        <v>637.86169934519694</v>
      </c>
      <c r="AE51" s="3">
        <f>F33</f>
        <v>680.38570295692807</v>
      </c>
      <c r="AF51" s="3">
        <f>F34</f>
        <v>712.19852309321061</v>
      </c>
      <c r="AG51" s="3">
        <f>F35</f>
        <v>739.6525806893593</v>
      </c>
      <c r="AH51" s="3">
        <f>F36</f>
        <v>773.66077664879538</v>
      </c>
      <c r="AI51" s="3">
        <f>F37</f>
        <v>803.05988616144964</v>
      </c>
    </row>
    <row r="52" spans="1:35" x14ac:dyDescent="0.15">
      <c r="A52" s="2" t="s">
        <v>149</v>
      </c>
      <c r="B52" s="3">
        <f>G4</f>
        <v>52.474050566072208</v>
      </c>
      <c r="C52" s="3">
        <f>G5</f>
        <v>56.8612103564802</v>
      </c>
      <c r="D52" s="3">
        <f>G6</f>
        <v>78.928607922986373</v>
      </c>
      <c r="E52" s="3">
        <f>G7</f>
        <v>100</v>
      </c>
      <c r="F52" s="3">
        <f>G8</f>
        <v>117.73369115316179</v>
      </c>
      <c r="G52" s="3">
        <f>G9</f>
        <v>136.23678332979532</v>
      </c>
      <c r="H52" s="3">
        <f>G10</f>
        <v>157.10700697728274</v>
      </c>
      <c r="I52" s="3">
        <f>G11</f>
        <v>173.91425888438678</v>
      </c>
      <c r="J52" s="3">
        <f>G12</f>
        <v>185.17174477363295</v>
      </c>
      <c r="K52" s="3">
        <f>G13</f>
        <v>195.36049433841541</v>
      </c>
      <c r="L52" s="3">
        <f>G14</f>
        <v>203.72127345540795</v>
      </c>
      <c r="M52" s="3">
        <f>G15</f>
        <v>220.25823196804501</v>
      </c>
      <c r="N52" s="3">
        <f>G16</f>
        <v>233.22039091500432</v>
      </c>
      <c r="O52" s="3">
        <f>G17</f>
        <v>247.46352020897481</v>
      </c>
      <c r="P52" s="3">
        <f>G18</f>
        <v>262.62757035179322</v>
      </c>
      <c r="Q52" s="3">
        <f>G19</f>
        <v>279.20037234009772</v>
      </c>
      <c r="R52" s="3">
        <f>G20</f>
        <v>293.84019477424721</v>
      </c>
      <c r="S52" s="3">
        <f>G21</f>
        <v>306.68972190344726</v>
      </c>
      <c r="T52" s="3">
        <f>G22</f>
        <v>324.07790567303601</v>
      </c>
      <c r="U52" s="3">
        <f>G23</f>
        <v>338.7982206621769</v>
      </c>
      <c r="V52" s="3">
        <f>G24</f>
        <v>344.57094537006645</v>
      </c>
      <c r="W52" s="3">
        <f>G25</f>
        <v>359.62307529841218</v>
      </c>
      <c r="X52" s="3">
        <f>G26</f>
        <v>371.22246208841784</v>
      </c>
      <c r="Y52" s="3">
        <f>G27</f>
        <v>393.7838332350957</v>
      </c>
      <c r="Z52" s="3">
        <f>G28</f>
        <v>419.64596029967203</v>
      </c>
      <c r="AA52" s="3">
        <f>G29</f>
        <v>441.48643415513601</v>
      </c>
      <c r="AB52" s="3">
        <f>G30</f>
        <v>460.55427836498666</v>
      </c>
      <c r="AC52" s="3">
        <f>G31</f>
        <v>481.83091942821238</v>
      </c>
      <c r="AD52" s="3">
        <f>G32</f>
        <v>503.45535976706861</v>
      </c>
      <c r="AE52" s="3">
        <f>G33</f>
        <v>537.01896385092846</v>
      </c>
      <c r="AF52" s="3">
        <f>G34</f>
        <v>562.12837992553966</v>
      </c>
      <c r="AG52" s="3">
        <f>G35</f>
        <v>583.79748540455478</v>
      </c>
      <c r="AH52" s="3">
        <f>G36</f>
        <v>610.63968105505899</v>
      </c>
      <c r="AI52" s="3">
        <f>G37</f>
        <v>633.84398893515129</v>
      </c>
    </row>
    <row r="53" spans="1:35" x14ac:dyDescent="0.15">
      <c r="A53" s="2" t="s">
        <v>148</v>
      </c>
      <c r="B53" s="3">
        <f>H4</f>
        <v>44.570122665913701</v>
      </c>
      <c r="C53" s="3">
        <f>H5</f>
        <v>48.296464503528099</v>
      </c>
      <c r="D53" s="3">
        <f>H6</f>
        <v>67.039950204488846</v>
      </c>
      <c r="E53" s="3">
        <f>H7</f>
        <v>84.937454198992427</v>
      </c>
      <c r="F53" s="3">
        <f>H8</f>
        <v>100</v>
      </c>
      <c r="G53" s="3">
        <f>H9</f>
        <v>115.71605544292545</v>
      </c>
      <c r="H53" s="3">
        <f>H10</f>
        <v>133.44269209473737</v>
      </c>
      <c r="I53" s="3">
        <f>H11</f>
        <v>147.71834398544314</v>
      </c>
      <c r="J53" s="3">
        <f>H12</f>
        <v>157.28016590657964</v>
      </c>
      <c r="K53" s="3">
        <f>H13</f>
        <v>165.93423040161676</v>
      </c>
      <c r="L53" s="3">
        <f>H14</f>
        <v>173.03566333479122</v>
      </c>
      <c r="M53" s="3">
        <f>H15</f>
        <v>187.08173489736873</v>
      </c>
      <c r="N53" s="3">
        <f>H16</f>
        <v>198.09146271614287</v>
      </c>
      <c r="O53" s="3">
        <f>H17</f>
        <v>210.18921413671237</v>
      </c>
      <c r="P53" s="3">
        <f>H18</f>
        <v>223.069172281481</v>
      </c>
      <c r="Q53" s="3">
        <f>H19</f>
        <v>237.1456883797868</v>
      </c>
      <c r="R53" s="3">
        <f>H20</f>
        <v>249.58038085460635</v>
      </c>
      <c r="S53" s="3">
        <f>H21</f>
        <v>260.49444207475779</v>
      </c>
      <c r="T53" s="3">
        <f>H22</f>
        <v>275.26352270008886</v>
      </c>
      <c r="U53" s="3">
        <f>H23</f>
        <v>287.76658350193782</v>
      </c>
      <c r="V53" s="3">
        <f>H24</f>
        <v>292.66978890673539</v>
      </c>
      <c r="W53" s="3">
        <f>H25</f>
        <v>305.45468487059691</v>
      </c>
      <c r="X53" s="3">
        <f>H26</f>
        <v>315.30690871272191</v>
      </c>
      <c r="Y53" s="3">
        <f>H27</f>
        <v>334.46996299709616</v>
      </c>
      <c r="Z53" s="3">
        <f>H28</f>
        <v>356.4365953274559</v>
      </c>
      <c r="AA53" s="3">
        <f>H29</f>
        <v>374.98733780528352</v>
      </c>
      <c r="AB53" s="3">
        <f>H30</f>
        <v>391.18307924776059</v>
      </c>
      <c r="AC53" s="3">
        <f>H31</f>
        <v>409.25491650592198</v>
      </c>
      <c r="AD53" s="3">
        <f>H32</f>
        <v>427.62216561452647</v>
      </c>
      <c r="AE53" s="3">
        <f>H33</f>
        <v>456.13023646078608</v>
      </c>
      <c r="AF53" s="3">
        <f>H34</f>
        <v>477.45753523879341</v>
      </c>
      <c r="AG53" s="3">
        <f>H35</f>
        <v>495.8627217803633</v>
      </c>
      <c r="AH53" s="3">
        <f>H36</f>
        <v>518.66179941701421</v>
      </c>
      <c r="AI53" s="3">
        <f>H37</f>
        <v>538.37094779486074</v>
      </c>
    </row>
    <row r="54" spans="1:35" x14ac:dyDescent="0.15">
      <c r="A54" s="2" t="s">
        <v>147</v>
      </c>
      <c r="B54" s="3">
        <f>I4</f>
        <v>38.516800884123633</v>
      </c>
      <c r="C54" s="3">
        <f>I5</f>
        <v>41.737047049058233</v>
      </c>
      <c r="D54" s="3">
        <f>I6</f>
        <v>57.934873382851293</v>
      </c>
      <c r="E54" s="3">
        <f>I7</f>
        <v>73.40161559593264</v>
      </c>
      <c r="F54" s="3">
        <f>I8</f>
        <v>86.418431407146386</v>
      </c>
      <c r="G54" s="3">
        <f>I9</f>
        <v>100</v>
      </c>
      <c r="H54" s="3">
        <f>I10</f>
        <v>115.31908133574014</v>
      </c>
      <c r="I54" s="3">
        <f>I11</f>
        <v>127.65587577283273</v>
      </c>
      <c r="J54" s="3">
        <f>I12</f>
        <v>135.91905229102355</v>
      </c>
      <c r="K54" s="3">
        <f>I13</f>
        <v>143.39775908059741</v>
      </c>
      <c r="L54" s="3">
        <f>I14</f>
        <v>149.53470602887731</v>
      </c>
      <c r="M54" s="3">
        <f>I15</f>
        <v>161.673100747582</v>
      </c>
      <c r="N54" s="3">
        <f>I16</f>
        <v>171.18753483076287</v>
      </c>
      <c r="O54" s="3">
        <f>I17</f>
        <v>181.64222184395479</v>
      </c>
      <c r="P54" s="3">
        <f>I18</f>
        <v>192.77287963856082</v>
      </c>
      <c r="Q54" s="3">
        <f>I19</f>
        <v>204.93758404749119</v>
      </c>
      <c r="R54" s="3">
        <f>I20</f>
        <v>215.6834502345327</v>
      </c>
      <c r="S54" s="3">
        <f>I21</f>
        <v>225.1152107438032</v>
      </c>
      <c r="T54" s="3">
        <f>I22</f>
        <v>237.87841855347108</v>
      </c>
      <c r="U54" s="3">
        <f>I23</f>
        <v>248.6833675763107</v>
      </c>
      <c r="V54" s="3">
        <f>I24</f>
        <v>252.92064077580724</v>
      </c>
      <c r="W54" s="3">
        <f>I25</f>
        <v>263.9691473248119</v>
      </c>
      <c r="X54" s="3">
        <f>I26</f>
        <v>272.48328462789726</v>
      </c>
      <c r="Y54" s="3">
        <f>I27</f>
        <v>289.04369555015342</v>
      </c>
      <c r="Z54" s="3">
        <f>I28</f>
        <v>308.02691464302535</v>
      </c>
      <c r="AA54" s="3">
        <f>I29</f>
        <v>324.05817530674324</v>
      </c>
      <c r="AB54" s="3">
        <f>I30</f>
        <v>338.05428101608908</v>
      </c>
      <c r="AC54" s="3">
        <f>I31</f>
        <v>353.67167930104438</v>
      </c>
      <c r="AD54" s="3">
        <f>I32</f>
        <v>369.54436787334345</v>
      </c>
      <c r="AE54" s="3">
        <f>I33</f>
        <v>394.180595523119</v>
      </c>
      <c r="AF54" s="3">
        <f>I34</f>
        <v>412.61131258858842</v>
      </c>
      <c r="AG54" s="3">
        <f>I35</f>
        <v>428.51678609537231</v>
      </c>
      <c r="AH54" s="3">
        <f>I36</f>
        <v>448.21939136426357</v>
      </c>
      <c r="AI54" s="3">
        <f>I37</f>
        <v>465.25172823610558</v>
      </c>
    </row>
    <row r="55" spans="1:35" x14ac:dyDescent="0.15">
      <c r="A55" s="2" t="s">
        <v>146</v>
      </c>
      <c r="B55" s="3">
        <f>J4</f>
        <v>33.400197467742366</v>
      </c>
      <c r="C55" s="3">
        <f>J5</f>
        <v>36.1926634912612</v>
      </c>
      <c r="D55" s="3">
        <f>J6</f>
        <v>50.238757291327715</v>
      </c>
      <c r="E55" s="3">
        <f>J7</f>
        <v>63.650884784826779</v>
      </c>
      <c r="F55" s="3">
        <f>J8</f>
        <v>74.938536108822817</v>
      </c>
      <c r="G55" s="3">
        <f>J9</f>
        <v>86.715917991802115</v>
      </c>
      <c r="H55" s="3">
        <f>J10</f>
        <v>100</v>
      </c>
      <c r="I55" s="3">
        <f>J11</f>
        <v>110.69796454688641</v>
      </c>
      <c r="J55" s="3">
        <f>J12</f>
        <v>117.86345391991861</v>
      </c>
      <c r="K55" s="3">
        <f>J13</f>
        <v>124.34868316641283</v>
      </c>
      <c r="L55" s="3">
        <f>J14</f>
        <v>129.6703930492836</v>
      </c>
      <c r="M55" s="3">
        <f>J15</f>
        <v>140.19631345907683</v>
      </c>
      <c r="N55" s="3">
        <f>J16</f>
        <v>148.44684231603202</v>
      </c>
      <c r="O55" s="3">
        <f>J17</f>
        <v>157.5127201326911</v>
      </c>
      <c r="P55" s="3">
        <f>J18</f>
        <v>167.1647722178098</v>
      </c>
      <c r="Q55" s="3">
        <f>J19</f>
        <v>177.71350731700301</v>
      </c>
      <c r="R55" s="3">
        <f>J20</f>
        <v>187.03188382726671</v>
      </c>
      <c r="S55" s="3">
        <f>J21</f>
        <v>195.21072153566891</v>
      </c>
      <c r="T55" s="3">
        <f>J22</f>
        <v>206.27845435302373</v>
      </c>
      <c r="U55" s="3">
        <f>J23</f>
        <v>215.64806508672541</v>
      </c>
      <c r="V55" s="3">
        <f>J24</f>
        <v>219.32245543948943</v>
      </c>
      <c r="W55" s="3">
        <f>J25</f>
        <v>228.90326931784318</v>
      </c>
      <c r="X55" s="3">
        <f>J26</f>
        <v>236.28638163929611</v>
      </c>
      <c r="Y55" s="3">
        <f>J27</f>
        <v>250.64689399374521</v>
      </c>
      <c r="Z55" s="3">
        <f>J28</f>
        <v>267.10836669452419</v>
      </c>
      <c r="AA55" s="3">
        <f>J29</f>
        <v>281.01002154472582</v>
      </c>
      <c r="AB55" s="3">
        <f>J30</f>
        <v>293.14687309368804</v>
      </c>
      <c r="AC55" s="3">
        <f>J31</f>
        <v>306.68964338292301</v>
      </c>
      <c r="AD55" s="3">
        <f>J32</f>
        <v>320.45379098837202</v>
      </c>
      <c r="AE55" s="3">
        <f>J33</f>
        <v>341.81732195342505</v>
      </c>
      <c r="AF55" s="3">
        <f>J34</f>
        <v>357.79968744921865</v>
      </c>
      <c r="AG55" s="3">
        <f>J35</f>
        <v>371.59226481156912</v>
      </c>
      <c r="AH55" s="3">
        <f>J36</f>
        <v>388.67755983878936</v>
      </c>
      <c r="AI55" s="3">
        <f>J37</f>
        <v>403.44730711266334</v>
      </c>
    </row>
    <row r="56" spans="1:35" x14ac:dyDescent="0.15">
      <c r="A56" s="2" t="s">
        <v>31</v>
      </c>
      <c r="B56" s="3">
        <f>$K$4</f>
        <v>30.172368213324845</v>
      </c>
      <c r="C56" s="3">
        <f>$K$5</f>
        <v>32.694967463409597</v>
      </c>
      <c r="D56" s="3">
        <f>$K$6</f>
        <v>45.383632388334441</v>
      </c>
      <c r="E56" s="3">
        <f>$K$7</f>
        <v>57.499598159157919</v>
      </c>
      <c r="F56" s="3">
        <f>$K$8</f>
        <v>67.696399311012087</v>
      </c>
      <c r="G56" s="3">
        <f>$K$9</f>
        <v>78.335602959594951</v>
      </c>
      <c r="H56" s="3">
        <f>$K$10</f>
        <v>90.335897691817763</v>
      </c>
      <c r="I56" s="3">
        <f>$K$11</f>
        <v>100</v>
      </c>
      <c r="J56" s="3">
        <f>$K$12</f>
        <v>106.47300914914044</v>
      </c>
      <c r="K56" s="3">
        <f>$K$13</f>
        <v>112.33149920633329</v>
      </c>
      <c r="L56" s="3">
        <f>$K$14</f>
        <v>117.13891360157882</v>
      </c>
      <c r="M56" s="3">
        <f>$K$15</f>
        <v>126.64759829409178</v>
      </c>
      <c r="N56" s="3">
        <f>$K$16</f>
        <v>134.10078760134471</v>
      </c>
      <c r="O56" s="3">
        <f>$K$17</f>
        <v>142.29052971066707</v>
      </c>
      <c r="P56" s="3">
        <f>$K$18</f>
        <v>151.00979760744087</v>
      </c>
      <c r="Q56" s="3">
        <f>$K$19</f>
        <v>160.53909215442889</v>
      </c>
      <c r="R56" s="3">
        <f>$K$20</f>
        <v>168.95693122527908</v>
      </c>
      <c r="S56" s="3">
        <f>$K$21</f>
        <v>176.34535768992112</v>
      </c>
      <c r="T56" s="3">
        <f>$K$22</f>
        <v>186.34349348461055</v>
      </c>
      <c r="U56" s="3">
        <f>$K$23</f>
        <v>194.80761545112887</v>
      </c>
      <c r="V56" s="3">
        <f>$K$24</f>
        <v>198.12690896099977</v>
      </c>
      <c r="W56" s="3">
        <f>$K$25</f>
        <v>206.78182318419292</v>
      </c>
      <c r="X56" s="3">
        <f>$K$26</f>
        <v>213.4514239773726</v>
      </c>
      <c r="Y56" s="3">
        <f>$K$27</f>
        <v>226.42412172590861</v>
      </c>
      <c r="Z56" s="3">
        <f>$K$28</f>
        <v>241.29474086345078</v>
      </c>
      <c r="AA56" s="3">
        <f>$K$29</f>
        <v>253.85292556639851</v>
      </c>
      <c r="AB56" s="3">
        <f>$K$30</f>
        <v>264.81685936467687</v>
      </c>
      <c r="AC56" s="3">
        <f>$K$31</f>
        <v>277.05084247779808</v>
      </c>
      <c r="AD56" s="3">
        <f>$K$32</f>
        <v>289.48480877680731</v>
      </c>
      <c r="AE56" s="3">
        <f>K33</f>
        <v>308.7837462527574</v>
      </c>
      <c r="AF56" s="3">
        <f>$K$34</f>
        <v>323.22155959576986</v>
      </c>
      <c r="AG56" s="3">
        <f>K35</f>
        <v>335.6812081708876</v>
      </c>
      <c r="AH56" s="3">
        <f>K36</f>
        <v>351.11536280702251</v>
      </c>
      <c r="AI56" s="3">
        <f>K37</f>
        <v>364.45774659368936</v>
      </c>
    </row>
    <row r="57" spans="1:35" x14ac:dyDescent="0.15">
      <c r="A57" s="2" t="s">
        <v>30</v>
      </c>
      <c r="B57" s="3">
        <f>$L$4</f>
        <v>28.338044030540509</v>
      </c>
      <c r="C57" s="3">
        <f>$L$5</f>
        <v>30.707282272460823</v>
      </c>
      <c r="D57" s="3">
        <f>$L$6</f>
        <v>42.624541891893003</v>
      </c>
      <c r="E57" s="3">
        <f>$L$7</f>
        <v>54.003919508479591</v>
      </c>
      <c r="F57" s="3">
        <f>$L$8</f>
        <v>63.580807804715455</v>
      </c>
      <c r="G57" s="3">
        <f>$L$9</f>
        <v>73.573202810364407</v>
      </c>
      <c r="H57" s="3">
        <f>$L$10</f>
        <v>84.843941590193168</v>
      </c>
      <c r="I57" s="3">
        <f>$L$11</f>
        <v>93.920516381693048</v>
      </c>
      <c r="J57" s="3">
        <f>$L$12</f>
        <v>100</v>
      </c>
      <c r="K57" s="3">
        <f>$L$13</f>
        <v>105.50232411388566</v>
      </c>
      <c r="L57" s="3">
        <f>$L$14</f>
        <v>110.01747253850812</v>
      </c>
      <c r="M57" s="3">
        <f>$L$15</f>
        <v>118.94807830282328</v>
      </c>
      <c r="N57" s="3">
        <f>$L$16</f>
        <v>125.94815218710038</v>
      </c>
      <c r="O57" s="3">
        <f>$L$17</f>
        <v>133.6400002665049</v>
      </c>
      <c r="P57" s="3">
        <f>$L$18</f>
        <v>141.82918169985803</v>
      </c>
      <c r="Q57" s="3">
        <f>$L$19</f>
        <v>150.77914434592168</v>
      </c>
      <c r="R57" s="3">
        <f>$L$20</f>
        <v>158.6852222694441</v>
      </c>
      <c r="S57" s="3">
        <f>$L$21</f>
        <v>165.62447055751755</v>
      </c>
      <c r="T57" s="3">
        <f>$L$22</f>
        <v>175.01477132443279</v>
      </c>
      <c r="U57" s="3">
        <f>$L$23</f>
        <v>182.96431838256308</v>
      </c>
      <c r="V57" s="3">
        <f>$L$24</f>
        <v>186.08181598725787</v>
      </c>
      <c r="W57" s="3">
        <f>$L$25</f>
        <v>194.21055611807344</v>
      </c>
      <c r="X57" s="3">
        <f>$L$26</f>
        <v>200.47467962362532</v>
      </c>
      <c r="Y57" s="3">
        <f>$L$27</f>
        <v>212.6587043376866</v>
      </c>
      <c r="Z57" s="3">
        <f>$L$28</f>
        <v>226.62526662082109</v>
      </c>
      <c r="AA57" s="3">
        <f>$L$29</f>
        <v>238.41997854199639</v>
      </c>
      <c r="AB57" s="3">
        <f>$L$30</f>
        <v>248.71736178108642</v>
      </c>
      <c r="AC57" s="3">
        <f>$L$31</f>
        <v>260.20758189497894</v>
      </c>
      <c r="AD57" s="3">
        <f>$L$32</f>
        <v>271.88562724973406</v>
      </c>
      <c r="AE57" s="3">
        <f>$L$33</f>
        <v>290.01128898332655</v>
      </c>
      <c r="AF57" s="3">
        <f>$L$34</f>
        <v>303.57135782930879</v>
      </c>
      <c r="AG57" s="3">
        <f>L35</f>
        <v>315.27352411040368</v>
      </c>
      <c r="AH57" s="3">
        <f>L36</f>
        <v>329.7693618438106</v>
      </c>
      <c r="AI57" s="3">
        <f>L37</f>
        <v>342.30059759387535</v>
      </c>
    </row>
    <row r="58" spans="1:35" x14ac:dyDescent="0.15">
      <c r="A58" s="2" t="s">
        <v>64</v>
      </c>
      <c r="B58" s="3">
        <f>$M$4</f>
        <v>26.860113526931112</v>
      </c>
      <c r="C58" s="3">
        <f>$M$5</f>
        <v>29.1057875078785</v>
      </c>
      <c r="D58" s="3">
        <f>$M$6</f>
        <v>40.401519350304987</v>
      </c>
      <c r="E58" s="3">
        <f>$M$7</f>
        <v>51.18742166303791</v>
      </c>
      <c r="F58" s="3">
        <f>$M$8</f>
        <v>60.264840930027695</v>
      </c>
      <c r="G58" s="3">
        <f>$M$9</f>
        <v>69.736096743181676</v>
      </c>
      <c r="H58" s="3">
        <f>$M$10</f>
        <v>80.419026123640108</v>
      </c>
      <c r="I58" s="3">
        <f>$M$11</f>
        <v>89.022225027298447</v>
      </c>
      <c r="J58" s="3">
        <f>$M$12</f>
        <v>94.784641798083868</v>
      </c>
      <c r="K58" s="3">
        <f>$M$13</f>
        <v>100</v>
      </c>
      <c r="L58" s="3">
        <f>$M$14</f>
        <v>104.27966726093018</v>
      </c>
      <c r="M58" s="3">
        <f>$M$15</f>
        <v>112.74450994503538</v>
      </c>
      <c r="N58" s="3">
        <f>$M$16</f>
        <v>119.37950490184863</v>
      </c>
      <c r="O58" s="3">
        <f>$M$17</f>
        <v>126.670195551565</v>
      </c>
      <c r="P58" s="3">
        <f>$M$18</f>
        <v>134.43228183936395</v>
      </c>
      <c r="Q58" s="3">
        <f>$M$19</f>
        <v>142.91547187449771</v>
      </c>
      <c r="R58" s="3">
        <f>$M$20</f>
        <v>150.4092195145858</v>
      </c>
      <c r="S58" s="3">
        <f>$M$21</f>
        <v>156.98656114791592</v>
      </c>
      <c r="T58" s="3">
        <f>$M$22</f>
        <v>165.8871240935992</v>
      </c>
      <c r="U58" s="3">
        <f>$M$23</f>
        <v>173.42207379721813</v>
      </c>
      <c r="V58" s="3">
        <f>$M$24</f>
        <v>176.37698273489193</v>
      </c>
      <c r="W58" s="3">
        <f>$M$25</f>
        <v>184.08177995058259</v>
      </c>
      <c r="X58" s="3">
        <f>$M$26</f>
        <v>190.01920697710949</v>
      </c>
      <c r="Y58" s="3">
        <f>$M$27</f>
        <v>201.56779115892246</v>
      </c>
      <c r="Z58" s="3">
        <f>$M$28</f>
        <v>214.80594719049782</v>
      </c>
      <c r="AA58" s="3">
        <f>$M$29</f>
        <v>225.98552263609974</v>
      </c>
      <c r="AB58" s="3">
        <f>$M$30</f>
        <v>235.74586045384711</v>
      </c>
      <c r="AC58" s="3">
        <f>$M$31</f>
        <v>246.63682443061154</v>
      </c>
      <c r="AD58" s="3">
        <f>$M$32</f>
        <v>257.70581788913398</v>
      </c>
      <c r="AE58" s="3">
        <f>$M$33</f>
        <v>274.88616143685192</v>
      </c>
      <c r="AF58" s="3">
        <f>$M$34</f>
        <v>287.73902412008982</v>
      </c>
      <c r="AG58" s="3">
        <f>M35</f>
        <v>298.83088051224172</v>
      </c>
      <c r="AH58" s="3">
        <f>M36</f>
        <v>312.57070838348295</v>
      </c>
      <c r="AI58" s="3">
        <f>M37</f>
        <v>324.44839530205525</v>
      </c>
    </row>
    <row r="59" spans="1:35" x14ac:dyDescent="0.15">
      <c r="A59" s="2" t="s">
        <v>32</v>
      </c>
      <c r="B59" s="3">
        <f>$N$4</f>
        <v>25.757766813468365</v>
      </c>
      <c r="C59" s="3">
        <f>$N$5</f>
        <v>27.911277694288717</v>
      </c>
      <c r="D59" s="3">
        <f>$N$6</f>
        <v>38.743429482961119</v>
      </c>
      <c r="E59" s="3">
        <f>$N$7</f>
        <v>49.08667529112455</v>
      </c>
      <c r="F59" s="3">
        <f>$N$8</f>
        <v>57.791554684607959</v>
      </c>
      <c r="G59" s="3">
        <f>$N$9</f>
        <v>66.874107460169526</v>
      </c>
      <c r="H59" s="3">
        <f>$N$10</f>
        <v>77.118606374543148</v>
      </c>
      <c r="I59" s="3">
        <f>$N$11</f>
        <v>85.368727543544665</v>
      </c>
      <c r="J59" s="3">
        <f>$N$12</f>
        <v>90.894653087943098</v>
      </c>
      <c r="K59" s="3">
        <f>$N$13</f>
        <v>95.895971503033721</v>
      </c>
      <c r="L59" s="3">
        <f>$N$14</f>
        <v>100</v>
      </c>
      <c r="M59" s="3">
        <f>$N$15</f>
        <v>108.11744312812614</v>
      </c>
      <c r="N59" s="3">
        <f>$N$16</f>
        <v>114.48013600113951</v>
      </c>
      <c r="O59" s="3">
        <f>$N$17</f>
        <v>121.47161462896585</v>
      </c>
      <c r="P59" s="3">
        <f>$N$18</f>
        <v>128.91514268355442</v>
      </c>
      <c r="Q59" s="3">
        <f>$N$19</f>
        <v>137.05018018219448</v>
      </c>
      <c r="R59" s="3">
        <f>$N$20</f>
        <v>144.23638228364263</v>
      </c>
      <c r="S59" s="3">
        <f>$N$21</f>
        <v>150.54378794199806</v>
      </c>
      <c r="T59" s="3">
        <f>$N$22</f>
        <v>159.07906924800008</v>
      </c>
      <c r="U59" s="3">
        <f>$N$23</f>
        <v>166.3047824685504</v>
      </c>
      <c r="V59" s="3">
        <f>$N$24</f>
        <v>169.13842110136267</v>
      </c>
      <c r="W59" s="3">
        <f>$N$25</f>
        <v>176.52701124368789</v>
      </c>
      <c r="X59" s="3">
        <f>$N$26</f>
        <v>182.2207645730596</v>
      </c>
      <c r="Y59" s="3">
        <f>$N$27</f>
        <v>193.29539156905483</v>
      </c>
      <c r="Z59" s="3">
        <f>$N$28</f>
        <v>205.99024990462144</v>
      </c>
      <c r="AA59" s="3">
        <f>$N$29</f>
        <v>216.71101238809604</v>
      </c>
      <c r="AB59" s="3">
        <f>$N$30</f>
        <v>226.07078316040287</v>
      </c>
      <c r="AC59" s="3">
        <f>$N$31</f>
        <v>236.51477887196654</v>
      </c>
      <c r="AD59" s="3">
        <f>$N$32</f>
        <v>247.12949768462389</v>
      </c>
      <c r="AE59" s="3">
        <f>$N$33</f>
        <v>263.60475503726673</v>
      </c>
      <c r="AF59" s="3">
        <f>$N$34</f>
        <v>275.93013257330858</v>
      </c>
      <c r="AG59" s="3">
        <f>N35</f>
        <v>286.56677601828403</v>
      </c>
      <c r="AH59" s="3">
        <f>N36</f>
        <v>299.7427174382554</v>
      </c>
      <c r="AI59" s="3">
        <f>N37</f>
        <v>311.1329407009091</v>
      </c>
    </row>
    <row r="60" spans="1:35" x14ac:dyDescent="0.15">
      <c r="A60" s="2" t="s">
        <v>29</v>
      </c>
      <c r="B60" s="3">
        <f>$O$4</f>
        <v>23.823877136035996</v>
      </c>
      <c r="C60" s="3">
        <f>$O$5</f>
        <v>25.815702708777579</v>
      </c>
      <c r="D60" s="3">
        <f>$O$6</f>
        <v>35.834577994087098</v>
      </c>
      <c r="E60" s="3">
        <f>$O$7</f>
        <v>45.401254294326655</v>
      </c>
      <c r="F60" s="3">
        <f>$O$8</f>
        <v>53.452572510544151</v>
      </c>
      <c r="G60" s="3">
        <f>$O$9</f>
        <v>61.853208441971198</v>
      </c>
      <c r="H60" s="3">
        <f>$O$10</f>
        <v>71.328551751961655</v>
      </c>
      <c r="I60" s="3">
        <f>$O$11</f>
        <v>78.959254930194035</v>
      </c>
      <c r="J60" s="3">
        <f>$O$12</f>
        <v>84.070294725918629</v>
      </c>
      <c r="K60" s="3">
        <f>$O$13</f>
        <v>88.696114825237601</v>
      </c>
      <c r="L60" s="3">
        <f>$O$14</f>
        <v>92.492013413130351</v>
      </c>
      <c r="M60" s="3">
        <f>$O$15</f>
        <v>100</v>
      </c>
      <c r="N60" s="3">
        <f>$O$16</f>
        <v>105.88498274554381</v>
      </c>
      <c r="O60" s="3">
        <f>$O$17</f>
        <v>112.35154209576909</v>
      </c>
      <c r="P60" s="3">
        <f>$O$18</f>
        <v>119.23621106242928</v>
      </c>
      <c r="Q60" s="3">
        <f>$O$19</f>
        <v>126.76047103683463</v>
      </c>
      <c r="R60" s="3">
        <f>$O$20</f>
        <v>133.40713404840074</v>
      </c>
      <c r="S60" s="3">
        <f>$O$21</f>
        <v>139.24098053594733</v>
      </c>
      <c r="T60" s="3">
        <f>$O$22</f>
        <v>147.13543406634315</v>
      </c>
      <c r="U60" s="3">
        <f>$O$23</f>
        <v>153.81864170748889</v>
      </c>
      <c r="V60" s="3">
        <f>$O$24</f>
        <v>156.43953113182926</v>
      </c>
      <c r="W60" s="3">
        <f>$O$25</f>
        <v>163.27338691730992</v>
      </c>
      <c r="X60" s="3">
        <f>$O$26</f>
        <v>168.53965401042294</v>
      </c>
      <c r="Y60" s="3">
        <f>$O$27</f>
        <v>178.782799497013</v>
      </c>
      <c r="Z60" s="3">
        <f>$O$28</f>
        <v>190.52452957152317</v>
      </c>
      <c r="AA60" s="3">
        <f>$O$29</f>
        <v>200.44037864572832</v>
      </c>
      <c r="AB60" s="3">
        <f>$O$30</f>
        <v>209.09741908388861</v>
      </c>
      <c r="AC60" s="3">
        <f>$O$31</f>
        <v>218.75728099829485</v>
      </c>
      <c r="AD60" s="3">
        <f>$O$32</f>
        <v>228.57504814626398</v>
      </c>
      <c r="AE60" s="3">
        <f>$O$33</f>
        <v>243.81334538671817</v>
      </c>
      <c r="AF60" s="3">
        <f>$O$34</f>
        <v>255.21333523057294</v>
      </c>
      <c r="AG60" s="3">
        <f>O35</f>
        <v>265.0513809124065</v>
      </c>
      <c r="AH60" s="3">
        <f>O36</f>
        <v>277.23807441787255</v>
      </c>
      <c r="AI60" s="3">
        <f>O37</f>
        <v>287.77312124575172</v>
      </c>
    </row>
    <row r="61" spans="1:35" x14ac:dyDescent="0.15">
      <c r="A61" s="2" t="s">
        <v>33</v>
      </c>
      <c r="B61" s="3">
        <f>$P$4</f>
        <v>22.499769578551145</v>
      </c>
      <c r="C61" s="3">
        <f>$P$5</f>
        <v>24.380891453527706</v>
      </c>
      <c r="D61" s="3">
        <f>$P$6</f>
        <v>33.842927547339286</v>
      </c>
      <c r="E61" s="3">
        <f>$P$7</f>
        <v>42.877897428979253</v>
      </c>
      <c r="F61" s="3">
        <f>$P$8</f>
        <v>50.481731332003932</v>
      </c>
      <c r="G61" s="3">
        <f>$P$9</f>
        <v>58.415468216690336</v>
      </c>
      <c r="H61" s="3">
        <f>$P$10</f>
        <v>67.364181305458558</v>
      </c>
      <c r="I61" s="3">
        <f>$P$11</f>
        <v>74.570777538816799</v>
      </c>
      <c r="J61" s="3">
        <f>$P$12</f>
        <v>79.397750791489585</v>
      </c>
      <c r="K61" s="3">
        <f>$P$13</f>
        <v>83.766472379172569</v>
      </c>
      <c r="L61" s="3">
        <f>$P$14</f>
        <v>87.351398673220146</v>
      </c>
      <c r="M61" s="3">
        <f>$P$15</f>
        <v>94.442098782141528</v>
      </c>
      <c r="N61" s="3">
        <f>$P$16</f>
        <v>100</v>
      </c>
      <c r="O61" s="3">
        <f>$P$17</f>
        <v>106.10715436934557</v>
      </c>
      <c r="P61" s="3">
        <f>$P$18</f>
        <v>112.60918023566222</v>
      </c>
      <c r="Q61" s="3">
        <f>$P$19</f>
        <v>119.71524927331527</v>
      </c>
      <c r="R61" s="3">
        <f>$P$20</f>
        <v>125.99249732041457</v>
      </c>
      <c r="S61" s="3">
        <f>$P$21</f>
        <v>131.50210438298186</v>
      </c>
      <c r="T61" s="3">
        <f>$P$22</f>
        <v>138.95779198446851</v>
      </c>
      <c r="U61" s="3">
        <f>$P$23</f>
        <v>145.26955354673501</v>
      </c>
      <c r="V61" s="3">
        <f>$P$24</f>
        <v>147.74477652584122</v>
      </c>
      <c r="W61" s="3">
        <f>$P$25</f>
        <v>154.19881335739399</v>
      </c>
      <c r="X61" s="3">
        <f>$P$26</f>
        <v>159.17238652760318</v>
      </c>
      <c r="Y61" s="3">
        <f>$P$27</f>
        <v>168.84622810644706</v>
      </c>
      <c r="Z61" s="3">
        <f>$P$28</f>
        <v>179.93536442214838</v>
      </c>
      <c r="AA61" s="3">
        <f>$P$29</f>
        <v>189.30010039989727</v>
      </c>
      <c r="AB61" s="3">
        <f>$P$30</f>
        <v>197.47599108211455</v>
      </c>
      <c r="AC61" s="3">
        <f>$P$31</f>
        <v>206.59896741353657</v>
      </c>
      <c r="AD61" s="3">
        <f>$P$32</f>
        <v>215.87107276162217</v>
      </c>
      <c r="AE61" s="3">
        <f>$P$33</f>
        <v>230.26244049416826</v>
      </c>
      <c r="AF61" s="3">
        <f>$P$34</f>
        <v>241.0288301636557</v>
      </c>
      <c r="AG61" s="3">
        <f>P35</f>
        <v>250.32008698472515</v>
      </c>
      <c r="AH61" s="3">
        <f>P36</f>
        <v>261.82945610343427</v>
      </c>
      <c r="AI61" s="3">
        <f>P37</f>
        <v>271.77897543536477</v>
      </c>
    </row>
    <row r="62" spans="1:35" x14ac:dyDescent="0.15">
      <c r="A62" s="2" t="s">
        <v>27</v>
      </c>
      <c r="B62" s="3">
        <f>$Q$4</f>
        <v>21.204762027857516</v>
      </c>
      <c r="C62" s="3">
        <f>$Q$5</f>
        <v>22.977613148177465</v>
      </c>
      <c r="D62" s="3">
        <f>$Q$6</f>
        <v>31.895047745354045</v>
      </c>
      <c r="E62" s="3">
        <f>$Q$7</f>
        <v>40.409996558504169</v>
      </c>
      <c r="F62" s="3">
        <f>$Q$8</f>
        <v>47.576180543192613</v>
      </c>
      <c r="G62" s="3">
        <f>$Q$9</f>
        <v>55.05327945498707</v>
      </c>
      <c r="H62" s="3">
        <f>$Q$10</f>
        <v>63.486936112688852</v>
      </c>
      <c r="I62" s="3">
        <f>$Q$11</f>
        <v>70.278746029928726</v>
      </c>
      <c r="J62" s="3">
        <f>$Q$12</f>
        <v>74.827895690347205</v>
      </c>
      <c r="K62" s="3">
        <f>$Q$13</f>
        <v>78.9451690388304</v>
      </c>
      <c r="L62" s="3">
        <f>$Q$14</f>
        <v>82.323759592271216</v>
      </c>
      <c r="M62" s="3">
        <f>$Q$15</f>
        <v>89.006343958109127</v>
      </c>
      <c r="N62" s="3">
        <f>$Q$16</f>
        <v>94.24435194248322</v>
      </c>
      <c r="O62" s="3">
        <f>$Q$17</f>
        <v>100</v>
      </c>
      <c r="P62" s="3">
        <f>$Q$18</f>
        <v>106.12779214084276</v>
      </c>
      <c r="Q62" s="3">
        <f>$Q$19</f>
        <v>112.82486085396432</v>
      </c>
      <c r="R62" s="3">
        <f>$Q$20</f>
        <v>118.74081259577525</v>
      </c>
      <c r="S62" s="3">
        <f>$Q$21</f>
        <v>123.93330606646906</v>
      </c>
      <c r="T62" s="3">
        <f>$Q$22</f>
        <v>130.95987052934623</v>
      </c>
      <c r="U62" s="3">
        <f>$Q$23</f>
        <v>136.90834930985903</v>
      </c>
      <c r="V62" s="3">
        <f>$Q$24</f>
        <v>139.24110716564911</v>
      </c>
      <c r="W62" s="3">
        <f>$Q$25</f>
        <v>145.32367235167521</v>
      </c>
      <c r="X62" s="3">
        <f>$Q$26</f>
        <v>150.01098415432409</v>
      </c>
      <c r="Y62" s="3">
        <f>$Q$27</f>
        <v>159.12803345824798</v>
      </c>
      <c r="Z62" s="3">
        <f>$Q$28</f>
        <v>169.57891811499923</v>
      </c>
      <c r="AA62" s="3">
        <f>$Q$29</f>
        <v>178.40465284835324</v>
      </c>
      <c r="AB62" s="3">
        <f>$Q$30</f>
        <v>186.10996803733482</v>
      </c>
      <c r="AC62" s="3">
        <f>$Q$31</f>
        <v>194.70785795874963</v>
      </c>
      <c r="AD62" s="3">
        <f>$Q$32</f>
        <v>203.44629355547724</v>
      </c>
      <c r="AE62" s="3">
        <f>$Q$33</f>
        <v>217.00934481067495</v>
      </c>
      <c r="AF62" s="3">
        <f>$Q$34</f>
        <v>227.15605898228586</v>
      </c>
      <c r="AG62" s="3">
        <f>Q35</f>
        <v>235.91254376061448</v>
      </c>
      <c r="AH62" s="3">
        <f>Q36</f>
        <v>246.75947409921019</v>
      </c>
      <c r="AI62" s="3">
        <f>Q37</f>
        <v>256.13633411498017</v>
      </c>
    </row>
    <row r="63" spans="1:35" x14ac:dyDescent="0.15">
      <c r="A63" s="2" t="s">
        <v>34</v>
      </c>
      <c r="B63" s="3">
        <f>$R$4</f>
        <v>19.980404378634923</v>
      </c>
      <c r="C63" s="3">
        <f>$R$5</f>
        <v>21.650891519239135</v>
      </c>
      <c r="D63" s="3">
        <f>$R$6</f>
        <v>30.053435675949945</v>
      </c>
      <c r="E63" s="3">
        <f>$R$7</f>
        <v>38.076733477010286</v>
      </c>
      <c r="F63" s="3">
        <f>$R$8</f>
        <v>44.829143793035861</v>
      </c>
      <c r="G63" s="3">
        <f>$R$9</f>
        <v>51.874516886138146</v>
      </c>
      <c r="H63" s="3">
        <f>$R$10</f>
        <v>59.821216320447903</v>
      </c>
      <c r="I63" s="3">
        <f>$R$11</f>
        <v>66.220868833925635</v>
      </c>
      <c r="J63" s="3">
        <f>$R$12</f>
        <v>70.507351732185953</v>
      </c>
      <c r="K63" s="3">
        <f>$R$13</f>
        <v>74.386894748608199</v>
      </c>
      <c r="L63" s="3">
        <f>$R$14</f>
        <v>77.570406329586987</v>
      </c>
      <c r="M63" s="3">
        <f>$R$15</f>
        <v>83.867139947647573</v>
      </c>
      <c r="N63" s="3">
        <f>$R$16</f>
        <v>88.80270666274771</v>
      </c>
      <c r="O63" s="3">
        <f>$R$17</f>
        <v>94.226025042798838</v>
      </c>
      <c r="P63" s="3">
        <f>$R$18</f>
        <v>100</v>
      </c>
      <c r="Q63" s="3">
        <f>$R$19</f>
        <v>106.31038164275937</v>
      </c>
      <c r="R63" s="3">
        <f>$R$20</f>
        <v>111.88474781251803</v>
      </c>
      <c r="S63" s="3">
        <f>$R$21</f>
        <v>116.77742801055967</v>
      </c>
      <c r="T63" s="3">
        <f>$R$22</f>
        <v>123.39828040099871</v>
      </c>
      <c r="U63" s="3">
        <f>$R$23</f>
        <v>129.00329550639032</v>
      </c>
      <c r="V63" s="3">
        <f>$R$24</f>
        <v>131.20136050777492</v>
      </c>
      <c r="W63" s="3">
        <f>$R$25</f>
        <v>136.9327199032044</v>
      </c>
      <c r="X63" s="3">
        <f>$R$26</f>
        <v>141.34938749620244</v>
      </c>
      <c r="Y63" s="3">
        <f>$R$27</f>
        <v>149.94002065648206</v>
      </c>
      <c r="Z63" s="3">
        <f>$R$28</f>
        <v>159.78747385034652</v>
      </c>
      <c r="AA63" s="3">
        <f>$R$29</f>
        <v>168.10361287040766</v>
      </c>
      <c r="AB63" s="3">
        <f>$R$30</f>
        <v>175.36402509000402</v>
      </c>
      <c r="AC63" s="3">
        <f>$R$31</f>
        <v>183.4654750005086</v>
      </c>
      <c r="AD63" s="3">
        <f>$R$32</f>
        <v>191.69935551423001</v>
      </c>
      <c r="AE63" s="3">
        <f>$R$33</f>
        <v>204.47927958652028</v>
      </c>
      <c r="AF63" s="3">
        <f>$R$34</f>
        <v>214.04012502288356</v>
      </c>
      <c r="AG63" s="3">
        <f>R35</f>
        <v>222.2910125629804</v>
      </c>
      <c r="AH63" s="3">
        <f>R36</f>
        <v>232.51164386020054</v>
      </c>
      <c r="AI63" s="3">
        <f>R37</f>
        <v>241.34708632688816</v>
      </c>
    </row>
    <row r="64" spans="1:35" x14ac:dyDescent="0.15">
      <c r="A64" s="2" t="s">
        <v>35</v>
      </c>
      <c r="B64" s="3">
        <f>$S$4</f>
        <v>18.79440565435667</v>
      </c>
      <c r="C64" s="3">
        <f>$S$5</f>
        <v>20.365735861991183</v>
      </c>
      <c r="D64" s="3">
        <f>$S$6</f>
        <v>28.26952101154162</v>
      </c>
      <c r="E64" s="3">
        <f>$S$7</f>
        <v>35.816571146326645</v>
      </c>
      <c r="F64" s="3">
        <f>$S$8</f>
        <v>42.168171255068678</v>
      </c>
      <c r="G64" s="3">
        <f>$S$9</f>
        <v>48.795344428783018</v>
      </c>
      <c r="H64" s="3">
        <f>$S$10</f>
        <v>56.27034292988283</v>
      </c>
      <c r="I64" s="3">
        <f>$S$11</f>
        <v>62.290124266933098</v>
      </c>
      <c r="J64" s="3">
        <f>$S$12</f>
        <v>66.322169709742639</v>
      </c>
      <c r="K64" s="3">
        <f>$S$13</f>
        <v>69.971430446533986</v>
      </c>
      <c r="L64" s="3">
        <f>$S$14</f>
        <v>72.965974847358837</v>
      </c>
      <c r="M64" s="3">
        <f>$S$15</f>
        <v>78.888946358476019</v>
      </c>
      <c r="N64" s="3">
        <f>$S$16</f>
        <v>83.531547239813648</v>
      </c>
      <c r="O64" s="3">
        <f>$S$17</f>
        <v>88.632947776851893</v>
      </c>
      <c r="P64" s="3">
        <f>$S$18</f>
        <v>94.064190584919089</v>
      </c>
      <c r="Q64" s="3">
        <f>$S$19</f>
        <v>100</v>
      </c>
      <c r="R64" s="3">
        <f>$S$20</f>
        <v>105.24348241782305</v>
      </c>
      <c r="S64" s="3">
        <f>$S$21</f>
        <v>109.84574244401952</v>
      </c>
      <c r="T64" s="3">
        <f>$S$22</f>
        <v>116.07359365490831</v>
      </c>
      <c r="U64" s="3">
        <f>$S$23</f>
        <v>121.34590574595734</v>
      </c>
      <c r="V64" s="3">
        <f>$S$24</f>
        <v>123.41349779804017</v>
      </c>
      <c r="W64" s="3">
        <f>$S$25</f>
        <v>128.80465462286364</v>
      </c>
      <c r="X64" s="3">
        <f>$S$26</f>
        <v>132.95915724504363</v>
      </c>
      <c r="Y64" s="3">
        <f>$S$27</f>
        <v>141.03986679338033</v>
      </c>
      <c r="Z64" s="3">
        <f>$S$28</f>
        <v>150.30279393341769</v>
      </c>
      <c r="AA64" s="3">
        <f>$S$29</f>
        <v>158.12530279055483</v>
      </c>
      <c r="AB64" s="3">
        <f>$S$30</f>
        <v>164.9547507780467</v>
      </c>
      <c r="AC64" s="3">
        <f>$S$31</f>
        <v>172.5753140620055</v>
      </c>
      <c r="AD64" s="3">
        <f>$S$32</f>
        <v>180.32044712096692</v>
      </c>
      <c r="AE64" s="3">
        <f>$S$33</f>
        <v>192.34177925693396</v>
      </c>
      <c r="AF64" s="3">
        <f>$S$34</f>
        <v>201.33511112972425</v>
      </c>
      <c r="AG64" s="3">
        <f>S35</f>
        <v>209.09624171038828</v>
      </c>
      <c r="AH64" s="3">
        <f>S36</f>
        <v>218.71019581278733</v>
      </c>
      <c r="AI64" s="3">
        <f>S37</f>
        <v>227.02118325367323</v>
      </c>
    </row>
    <row r="65" spans="1:35" x14ac:dyDescent="0.15">
      <c r="A65" s="2" t="s">
        <v>36</v>
      </c>
      <c r="B65" s="3">
        <f>$T$4</f>
        <v>17.858023340335446</v>
      </c>
      <c r="C65" s="3">
        <f>$T$5</f>
        <v>19.351066112709926</v>
      </c>
      <c r="D65" s="3">
        <f>$T$6</f>
        <v>26.861065751615765</v>
      </c>
      <c r="E65" s="3">
        <f>$T$7</f>
        <v>34.032103768794606</v>
      </c>
      <c r="F65" s="3">
        <f>$T$8</f>
        <v>40.067251944076183</v>
      </c>
      <c r="G65" s="3">
        <f>$T$9</f>
        <v>46.364243474063812</v>
      </c>
      <c r="H65" s="3">
        <f>$T$10</f>
        <v>53.466819642556239</v>
      </c>
      <c r="I65" s="3">
        <f>$T$11</f>
        <v>59.186681052264611</v>
      </c>
      <c r="J65" s="3">
        <f>$T$12</f>
        <v>63.017840331850273</v>
      </c>
      <c r="K65" s="3">
        <f>$T$13</f>
        <v>66.485286156479646</v>
      </c>
      <c r="L65" s="3">
        <f>$T$14</f>
        <v>69.330635181454255</v>
      </c>
      <c r="M65" s="3">
        <f>$T$15</f>
        <v>74.958510062677419</v>
      </c>
      <c r="N65" s="3">
        <f>$T$16</f>
        <v>79.36980544618271</v>
      </c>
      <c r="O65" s="3">
        <f>$T$17</f>
        <v>84.217041987430335</v>
      </c>
      <c r="P65" s="3">
        <f>$T$18</f>
        <v>89.377687267586339</v>
      </c>
      <c r="Q65" s="3">
        <f>$T$19</f>
        <v>95.017760437642977</v>
      </c>
      <c r="R65" s="3">
        <f>$T$20</f>
        <v>100</v>
      </c>
      <c r="S65" s="3">
        <f>$T$21</f>
        <v>104.37296440640877</v>
      </c>
      <c r="T65" s="3">
        <f>$T$22</f>
        <v>110.2905291503839</v>
      </c>
      <c r="U65" s="3">
        <f>$T$23</f>
        <v>115.30016202258177</v>
      </c>
      <c r="V65" s="3">
        <f>$T$24</f>
        <v>117.26474168545759</v>
      </c>
      <c r="W65" s="3">
        <f>$T$25</f>
        <v>122.387298162086</v>
      </c>
      <c r="X65" s="3">
        <f>$T$26</f>
        <v>126.33481351100457</v>
      </c>
      <c r="Y65" s="3">
        <f>$T$27</f>
        <v>134.01292275130487</v>
      </c>
      <c r="Z65" s="3">
        <f>$T$28</f>
        <v>142.81434867073901</v>
      </c>
      <c r="AA65" s="3">
        <f>$T$29</f>
        <v>150.24712139682697</v>
      </c>
      <c r="AB65" s="3">
        <f>$T$30</f>
        <v>156.73630992479542</v>
      </c>
      <c r="AC65" s="3">
        <f>$T$31</f>
        <v>163.97719848994637</v>
      </c>
      <c r="AD65" s="3">
        <f>$T$32</f>
        <v>171.33645046548702</v>
      </c>
      <c r="AE65" s="3">
        <f>$T$33</f>
        <v>182.75885103585355</v>
      </c>
      <c r="AF65" s="3">
        <f>$T$34</f>
        <v>191.30411357010365</v>
      </c>
      <c r="AG65" s="3">
        <f>T35</f>
        <v>198.67856603249166</v>
      </c>
      <c r="AH65" s="3">
        <f>T36</f>
        <v>207.81352991009413</v>
      </c>
      <c r="AI65" s="3">
        <f>T37</f>
        <v>215.71044404667768</v>
      </c>
    </row>
    <row r="66" spans="1:35" x14ac:dyDescent="0.15">
      <c r="A66" s="2" t="s">
        <v>59</v>
      </c>
      <c r="B66" s="3">
        <f>$U$4</f>
        <v>17.109817127354596</v>
      </c>
      <c r="C66" s="3">
        <f>$U$5</f>
        <v>18.540305166920906</v>
      </c>
      <c r="D66" s="3">
        <f>$U$6</f>
        <v>25.735654730494961</v>
      </c>
      <c r="E66" s="3">
        <f>$U$7</f>
        <v>32.606244310815939</v>
      </c>
      <c r="F66" s="3">
        <f>$U$8</f>
        <v>38.388534973541425</v>
      </c>
      <c r="G66" s="3">
        <f>$U$9</f>
        <v>44.421698413710018</v>
      </c>
      <c r="H66" s="3">
        <f>$U$10</f>
        <v>51.226694524423444</v>
      </c>
      <c r="I66" s="3">
        <f>$U$11</f>
        <v>56.706908143188073</v>
      </c>
      <c r="J66" s="3">
        <f>$U$12</f>
        <v>60.377551495491296</v>
      </c>
      <c r="K66" s="3">
        <f>$U$13</f>
        <v>63.699720070801455</v>
      </c>
      <c r="L66" s="3">
        <f>$U$14</f>
        <v>66.425856135975721</v>
      </c>
      <c r="M66" s="3">
        <f>$U$15</f>
        <v>71.817937230184441</v>
      </c>
      <c r="N66" s="3">
        <f>$U$16</f>
        <v>76.044410444386287</v>
      </c>
      <c r="O66" s="3">
        <f>$U$17</f>
        <v>80.688559979483699</v>
      </c>
      <c r="P66" s="3">
        <f>$U$18</f>
        <v>85.632987216465708</v>
      </c>
      <c r="Q66" s="3">
        <f>$U$19</f>
        <v>91.036755521920028</v>
      </c>
      <c r="R66" s="3">
        <f>$U$20</f>
        <v>95.810251791468446</v>
      </c>
      <c r="S66" s="3">
        <f>$U$21</f>
        <v>100</v>
      </c>
      <c r="T66" s="3">
        <f>$U$22</f>
        <v>105.66963368112575</v>
      </c>
      <c r="U66" s="3">
        <f>$U$23</f>
        <v>110.4693755498067</v>
      </c>
      <c r="V66" s="3">
        <f>$U$24</f>
        <v>112.35164427145199</v>
      </c>
      <c r="W66" s="3">
        <f>$U$25</f>
        <v>117.25957852986983</v>
      </c>
      <c r="X66" s="3">
        <f>$U$26</f>
        <v>121.0417029251756</v>
      </c>
      <c r="Y66" s="3">
        <f>$U$27</f>
        <v>128.39811872113131</v>
      </c>
      <c r="Z66" s="3">
        <f>$U$28</f>
        <v>136.83078705578072</v>
      </c>
      <c r="AA66" s="3">
        <f>$U$29</f>
        <v>143.95214531973321</v>
      </c>
      <c r="AB66" s="3">
        <f>$U$30</f>
        <v>150.16945318760284</v>
      </c>
      <c r="AC66" s="3">
        <f>$U$31</f>
        <v>157.10696675381362</v>
      </c>
      <c r="AD66" s="3">
        <f>$U$32</f>
        <v>164.15788460154772</v>
      </c>
      <c r="AE66" s="3">
        <f>$U$33</f>
        <v>175.10171534864605</v>
      </c>
      <c r="AF66" s="3">
        <f>$U$34</f>
        <v>183.28895289895308</v>
      </c>
      <c r="AG66" s="3">
        <f>U35</f>
        <v>190.35443437140916</v>
      </c>
      <c r="AH66" s="3">
        <f>U36</f>
        <v>199.10666626359978</v>
      </c>
      <c r="AI66" s="3">
        <f>U37</f>
        <v>206.67271958161658</v>
      </c>
    </row>
    <row r="67" spans="1:35" x14ac:dyDescent="0.15">
      <c r="A67" s="2" t="s">
        <v>60</v>
      </c>
      <c r="B67" s="3">
        <f>$V$4</f>
        <v>16.191801306878833</v>
      </c>
      <c r="C67" s="3">
        <f>$V$5</f>
        <v>17.545537465256203</v>
      </c>
      <c r="D67" s="3">
        <f>$V$6</f>
        <v>24.354825349500338</v>
      </c>
      <c r="E67" s="3">
        <f>$V$7</f>
        <v>30.856778030678388</v>
      </c>
      <c r="F67" s="3">
        <f>$V$8</f>
        <v>36.328823746455576</v>
      </c>
      <c r="G67" s="3">
        <f>$V$9</f>
        <v>42.038281828211197</v>
      </c>
      <c r="H67" s="3">
        <f>$V$10</f>
        <v>48.478160413622533</v>
      </c>
      <c r="I67" s="3">
        <f>$V$11</f>
        <v>53.664336827654601</v>
      </c>
      <c r="J67" s="3">
        <f>$V$12</f>
        <v>57.138034260334223</v>
      </c>
      <c r="K67" s="3">
        <f>$V$13</f>
        <v>60.281954097640856</v>
      </c>
      <c r="L67" s="3">
        <f>$V$14</f>
        <v>62.861821151406559</v>
      </c>
      <c r="M67" s="3">
        <f>$V$15</f>
        <v>67.964593732676349</v>
      </c>
      <c r="N67" s="3">
        <f>$V$16</f>
        <v>71.9642983469233</v>
      </c>
      <c r="O67" s="3">
        <f>$V$17</f>
        <v>76.359269137786313</v>
      </c>
      <c r="P67" s="3">
        <f>$V$18</f>
        <v>81.038406430816551</v>
      </c>
      <c r="Q67" s="3">
        <f>$V$19</f>
        <v>86.152239153811522</v>
      </c>
      <c r="R67" s="3">
        <f>$V$20</f>
        <v>90.669616666402504</v>
      </c>
      <c r="S67" s="3">
        <f>$V$21</f>
        <v>94.634566730651557</v>
      </c>
      <c r="T67" s="3">
        <f>$V$22</f>
        <v>100</v>
      </c>
      <c r="U67" s="3">
        <f>$V$23</f>
        <v>104.54221492161588</v>
      </c>
      <c r="V67" s="3">
        <f>$V$24</f>
        <v>106.32349177105149</v>
      </c>
      <c r="W67" s="3">
        <f>$V$25</f>
        <v>110.96809409193045</v>
      </c>
      <c r="X67" s="3">
        <f>$V$26</f>
        <v>114.54729112664232</v>
      </c>
      <c r="Y67" s="3">
        <f>$V$27</f>
        <v>121.50900334205024</v>
      </c>
      <c r="Z67" s="3">
        <f>$V$28</f>
        <v>129.48922248437856</v>
      </c>
      <c r="AA67" s="3">
        <f>$V$29</f>
        <v>136.22848902280742</v>
      </c>
      <c r="AB67" s="3">
        <f>$V$30</f>
        <v>142.11221138587658</v>
      </c>
      <c r="AC67" s="3">
        <f>$V$31</f>
        <v>148.67749729114033</v>
      </c>
      <c r="AD67" s="3">
        <f>$V$32</f>
        <v>155.35010284687766</v>
      </c>
      <c r="AE67" s="3">
        <f>$V$33</f>
        <v>165.70674965812998</v>
      </c>
      <c r="AF67" s="3">
        <f>$V$34</f>
        <v>173.45470644107229</v>
      </c>
      <c r="AG67" s="3">
        <f>V35</f>
        <v>180.14109421996554</v>
      </c>
      <c r="AH67" s="3">
        <f>V36</f>
        <v>188.42373095040205</v>
      </c>
      <c r="AI67" s="3">
        <f>V37</f>
        <v>195.5838327265173</v>
      </c>
    </row>
    <row r="68" spans="1:35" x14ac:dyDescent="0.15">
      <c r="A68" s="2" t="s">
        <v>61</v>
      </c>
      <c r="B68" s="3">
        <f>$W$4</f>
        <v>15.488289892288195</v>
      </c>
      <c r="C68" s="3">
        <f>$W$5</f>
        <v>16.783208083367633</v>
      </c>
      <c r="D68" s="3">
        <f>$W$6</f>
        <v>23.296641809015817</v>
      </c>
      <c r="E68" s="3">
        <f>$W$7</f>
        <v>29.516093621906052</v>
      </c>
      <c r="F68" s="3">
        <f>$W$8</f>
        <v>34.750386505292965</v>
      </c>
      <c r="G68" s="3">
        <f>$W$9</f>
        <v>40.211776515095686</v>
      </c>
      <c r="H68" s="3">
        <f>$W$10</f>
        <v>46.371851265989243</v>
      </c>
      <c r="I68" s="3">
        <f>$W$11</f>
        <v>51.332695474159671</v>
      </c>
      <c r="J68" s="3">
        <f>$W$12</f>
        <v>54.655465548702431</v>
      </c>
      <c r="K68" s="3">
        <f>$W$13</f>
        <v>57.662786409145163</v>
      </c>
      <c r="L68" s="3">
        <f>$W$14</f>
        <v>60.130561800837455</v>
      </c>
      <c r="M68" s="3">
        <f>$W$15</f>
        <v>65.011625957643176</v>
      </c>
      <c r="N68" s="3">
        <f>$W$16</f>
        <v>68.837548927847962</v>
      </c>
      <c r="O68" s="3">
        <f>$W$17</f>
        <v>73.04156430494541</v>
      </c>
      <c r="P68" s="3">
        <f>$W$18</f>
        <v>77.51739954197248</v>
      </c>
      <c r="Q68" s="3">
        <f>$W$19</f>
        <v>82.409043292613532</v>
      </c>
      <c r="R68" s="3">
        <f>$W$20</f>
        <v>86.730146988357916</v>
      </c>
      <c r="S68" s="3">
        <f>$W$21</f>
        <v>90.522825445784832</v>
      </c>
      <c r="T68" s="3">
        <f>$W$22</f>
        <v>95.655138046365707</v>
      </c>
      <c r="U68" s="3">
        <f>$W$23</f>
        <v>100</v>
      </c>
      <c r="V68" s="3">
        <f>$W$24</f>
        <v>101.70388282931557</v>
      </c>
      <c r="W68" s="3">
        <f>$W$25</f>
        <v>106.14668359105704</v>
      </c>
      <c r="X68" s="3">
        <f>$W$26</f>
        <v>109.57036945556212</v>
      </c>
      <c r="Y68" s="3">
        <f>$W$27</f>
        <v>116.22960488560126</v>
      </c>
      <c r="Z68" s="3">
        <f>$W$28</f>
        <v>123.86309452259792</v>
      </c>
      <c r="AA68" s="3">
        <f>$W$29</f>
        <v>130.30954923324458</v>
      </c>
      <c r="AB68" s="3">
        <f>$W$30</f>
        <v>135.93763198190328</v>
      </c>
      <c r="AC68" s="3">
        <f>$W$31</f>
        <v>142.21766527772189</v>
      </c>
      <c r="AD68" s="3">
        <f>$W$32</f>
        <v>148.60035533335193</v>
      </c>
      <c r="AE68" s="3">
        <f>$W$33</f>
        <v>158.50702013762987</v>
      </c>
      <c r="AF68" s="3">
        <f>$W$34</f>
        <v>165.91833889412607</v>
      </c>
      <c r="AG68" s="3">
        <f>W35</f>
        <v>172.31421235434175</v>
      </c>
      <c r="AH68" s="3">
        <f>W36</f>
        <v>180.23697995271976</v>
      </c>
      <c r="AI68" s="3">
        <f>W37</f>
        <v>187.08598519092311</v>
      </c>
    </row>
    <row r="69" spans="1:35" x14ac:dyDescent="0.15">
      <c r="A69" s="2" t="s">
        <v>39</v>
      </c>
      <c r="B69" s="3">
        <f>$X$4</f>
        <v>15.228808833465482</v>
      </c>
      <c r="C69" s="3">
        <f>$X$5</f>
        <v>16.502032780335472</v>
      </c>
      <c r="D69" s="3">
        <f>$X$6</f>
        <v>22.906344537615521</v>
      </c>
      <c r="E69" s="3">
        <f>$X$7</f>
        <v>29.021599570039431</v>
      </c>
      <c r="F69" s="3">
        <f>$X$8</f>
        <v>34.168200405497558</v>
      </c>
      <c r="G69" s="3">
        <f>$X$9</f>
        <v>39.538093725075427</v>
      </c>
      <c r="H69" s="3">
        <f>$X$10</f>
        <v>45.594966461420903</v>
      </c>
      <c r="I69" s="3">
        <f>$X$11</f>
        <v>50.472699808628448</v>
      </c>
      <c r="J69" s="3">
        <f>$X$12</f>
        <v>53.73980228505917</v>
      </c>
      <c r="K69" s="3">
        <f>$X$13</f>
        <v>56.696740384944469</v>
      </c>
      <c r="L69" s="3">
        <f>$X$14</f>
        <v>59.123172221213515</v>
      </c>
      <c r="M69" s="3">
        <f>$X$15</f>
        <v>63.922462101814602</v>
      </c>
      <c r="N69" s="3">
        <f>$X$16</f>
        <v>67.684287967033171</v>
      </c>
      <c r="O69" s="3">
        <f>$X$17</f>
        <v>71.81787191697228</v>
      </c>
      <c r="P69" s="3">
        <f>$X$18</f>
        <v>76.218721828021017</v>
      </c>
      <c r="Q69" s="3">
        <f>$X$19</f>
        <v>81.02841405860228</v>
      </c>
      <c r="R69" s="3">
        <f>$X$20</f>
        <v>85.277124703205956</v>
      </c>
      <c r="S69" s="3">
        <f>$X$21</f>
        <v>89.006263013285974</v>
      </c>
      <c r="T69" s="3">
        <f>$X$22</f>
        <v>94.052592079398607</v>
      </c>
      <c r="U69" s="3">
        <f>$X$23</f>
        <v>98.324662950995574</v>
      </c>
      <c r="V69" s="3">
        <f>$X$24</f>
        <v>100</v>
      </c>
      <c r="W69" s="3">
        <f>$X$25</f>
        <v>104.36836887456656</v>
      </c>
      <c r="X69" s="3">
        <f>$X$26</f>
        <v>107.73469646134205</v>
      </c>
      <c r="Y69" s="3">
        <f>$X$27</f>
        <v>114.28236725304133</v>
      </c>
      <c r="Z69" s="3">
        <f>$X$28</f>
        <v>121.78797021001746</v>
      </c>
      <c r="AA69" s="3">
        <f>$X$29</f>
        <v>128.12642507654937</v>
      </c>
      <c r="AB69" s="3">
        <f>$X$30</f>
        <v>133.66021846977117</v>
      </c>
      <c r="AC69" s="3">
        <f>$X$31</f>
        <v>139.83504004109511</v>
      </c>
      <c r="AD69" s="3">
        <f>$X$32</f>
        <v>146.11079852550006</v>
      </c>
      <c r="AE69" s="3">
        <f>$X$33</f>
        <v>155.85149330399125</v>
      </c>
      <c r="AF69" s="3">
        <f>$X$34</f>
        <v>163.13864749154004</v>
      </c>
      <c r="AG69" s="3">
        <f>X35</f>
        <v>169.42736851406929</v>
      </c>
      <c r="AH69" s="3">
        <f>X36</f>
        <v>177.21740305156516</v>
      </c>
      <c r="AI69" s="3">
        <f>X37</f>
        <v>183.95166436752464</v>
      </c>
    </row>
    <row r="70" spans="1:35" x14ac:dyDescent="0.15">
      <c r="A70" s="2" t="s">
        <v>101</v>
      </c>
      <c r="B70" s="3">
        <f>$Y$4</f>
        <v>14.591402546271448</v>
      </c>
      <c r="C70" s="3">
        <f>$Y$5</f>
        <v>15.81133532916297</v>
      </c>
      <c r="D70" s="3">
        <f>$Y$6</f>
        <v>21.947592728161862</v>
      </c>
      <c r="E70" s="3">
        <f>$Y$7</f>
        <v>27.806891956813629</v>
      </c>
      <c r="F70" s="3">
        <f>$Y$8</f>
        <v>32.738080295728352</v>
      </c>
      <c r="G70" s="3">
        <f>$Y$9</f>
        <v>37.883215145954466</v>
      </c>
      <c r="H70" s="3">
        <f>$Y$10</f>
        <v>43.686575686756662</v>
      </c>
      <c r="I70" s="3">
        <f>$Y$11</f>
        <v>48.360150065474585</v>
      </c>
      <c r="J70" s="3">
        <f>$Y$12</f>
        <v>51.490507003750807</v>
      </c>
      <c r="K70" s="3">
        <f>$Y$13</f>
        <v>54.323681586980179</v>
      </c>
      <c r="L70" s="3">
        <f>$Y$14</f>
        <v>56.648554402790133</v>
      </c>
      <c r="M70" s="3">
        <f>$Y$15</f>
        <v>61.246968589342224</v>
      </c>
      <c r="N70" s="3">
        <f>$Y$16</f>
        <v>64.851342122993643</v>
      </c>
      <c r="O70" s="3">
        <f>$Y$17</f>
        <v>68.811913697037298</v>
      </c>
      <c r="P70" s="3">
        <f>$Y$18</f>
        <v>73.028564736527841</v>
      </c>
      <c r="Q70" s="3">
        <f>$Y$19</f>
        <v>77.63694587963235</v>
      </c>
      <c r="R70" s="3">
        <f>$Y$20</f>
        <v>81.707825486565653</v>
      </c>
      <c r="S70" s="3">
        <f>$Y$21</f>
        <v>85.280879612343767</v>
      </c>
      <c r="T70" s="3">
        <f>$Y$22</f>
        <v>90.11599308640551</v>
      </c>
      <c r="U70" s="3">
        <f>$Y$23</f>
        <v>94.209255171138565</v>
      </c>
      <c r="V70" s="3">
        <f>$Y$24</f>
        <v>95.814470493625691</v>
      </c>
      <c r="W70" s="3">
        <f>$Y$25</f>
        <v>100</v>
      </c>
      <c r="X70" s="3">
        <f>$Y$26</f>
        <v>103.22542895234979</v>
      </c>
      <c r="Y70" s="3">
        <f>$Y$27</f>
        <v>109.49904505108223</v>
      </c>
      <c r="Z70" s="3">
        <f>$Y$28</f>
        <v>116.69049878166282</v>
      </c>
      <c r="AA70" s="3">
        <f>$Y$29</f>
        <v>122.76365574950783</v>
      </c>
      <c r="AB70" s="3">
        <f>$Y$30</f>
        <v>128.06583058743453</v>
      </c>
      <c r="AC70" s="3">
        <f>$Y$31</f>
        <v>133.98220317992474</v>
      </c>
      <c r="AD70" s="3">
        <f>$Y$32</f>
        <v>139.99528794121613</v>
      </c>
      <c r="AE70" s="3">
        <f>$Y$33</f>
        <v>149.32828306562774</v>
      </c>
      <c r="AF70" s="3">
        <f>$Y$34</f>
        <v>156.31043126448168</v>
      </c>
      <c r="AG70" s="3">
        <f>Y35</f>
        <v>162.3359360130394</v>
      </c>
      <c r="AH70" s="3">
        <f>Y36</f>
        <v>169.79991635641164</v>
      </c>
      <c r="AI70" s="3">
        <f>Y37</f>
        <v>176.25231317795527</v>
      </c>
    </row>
    <row r="71" spans="1:35" x14ac:dyDescent="0.15">
      <c r="A71" s="2" t="s">
        <v>106</v>
      </c>
      <c r="B71" s="3">
        <f>$Z$4</f>
        <v>14.135472910465726</v>
      </c>
      <c r="C71" s="3">
        <f>$Z$5</f>
        <v>15.317287115814931</v>
      </c>
      <c r="D71" s="3">
        <f>$Z$6</f>
        <v>21.261808210352083</v>
      </c>
      <c r="E71" s="3">
        <f>$Z$7</f>
        <v>26.938025096170492</v>
      </c>
      <c r="F71" s="3">
        <f>$Z$8</f>
        <v>31.715131269486584</v>
      </c>
      <c r="G71" s="3">
        <f>$Z$9</f>
        <v>36.69949888359568</v>
      </c>
      <c r="H71" s="3">
        <f>$Z$10</f>
        <v>42.32152496738275</v>
      </c>
      <c r="I71" s="3">
        <f>$Z$11</f>
        <v>46.849066704095037</v>
      </c>
      <c r="J71" s="3">
        <f>$Z$12</f>
        <v>49.881611078138022</v>
      </c>
      <c r="K71" s="3">
        <f>$Z$13</f>
        <v>52.626258992885077</v>
      </c>
      <c r="L71" s="3">
        <f>$Z$14</f>
        <v>54.878487769655912</v>
      </c>
      <c r="M71" s="3">
        <f>$Z$15</f>
        <v>59.333217803933394</v>
      </c>
      <c r="N71" s="3">
        <f>$Z$16</f>
        <v>62.8249674340708</v>
      </c>
      <c r="O71" s="3">
        <f>$Z$17</f>
        <v>66.661785177760578</v>
      </c>
      <c r="P71" s="3">
        <f>$Z$18</f>
        <v>70.746680810828877</v>
      </c>
      <c r="Q71" s="3">
        <f>$Z$19</f>
        <v>75.211066369576997</v>
      </c>
      <c r="R71" s="3">
        <f>$Z$20</f>
        <v>79.15474541092297</v>
      </c>
      <c r="S71" s="3">
        <f>$Z$21</f>
        <v>82.616154253726123</v>
      </c>
      <c r="T71" s="3">
        <f>$Z$22</f>
        <v>87.300187561346192</v>
      </c>
      <c r="U71" s="3">
        <f>$Z$23</f>
        <v>91.265549707356314</v>
      </c>
      <c r="V71" s="3">
        <f>$Z$24</f>
        <v>92.820607737900431</v>
      </c>
      <c r="W71" s="3">
        <f>$Z$25</f>
        <v>96.875354275506382</v>
      </c>
      <c r="X71" s="3">
        <f>$Z$26</f>
        <v>100</v>
      </c>
      <c r="Y71" s="3">
        <f>$Z$27</f>
        <v>106.07758782153225</v>
      </c>
      <c r="Z71" s="3">
        <f>$Z$28</f>
        <v>113.04433410059131</v>
      </c>
      <c r="AA71" s="3">
        <f>$Z$29</f>
        <v>118.92772642889878</v>
      </c>
      <c r="AB71" s="3">
        <f>$Z$30</f>
        <v>124.06422708744702</v>
      </c>
      <c r="AC71" s="3">
        <f>$Z$31</f>
        <v>129.79573399668089</v>
      </c>
      <c r="AD71" s="3">
        <f>$Z$32</f>
        <v>135.62093116206842</v>
      </c>
      <c r="AE71" s="3">
        <f>$Z$33</f>
        <v>144.66230325335786</v>
      </c>
      <c r="AF71" s="3">
        <f>$Z$34</f>
        <v>151.42628405703852</v>
      </c>
      <c r="AG71" s="3">
        <f>Z35</f>
        <v>157.26351312909125</v>
      </c>
      <c r="AH71" s="3">
        <f>Z36</f>
        <v>164.49427052978726</v>
      </c>
      <c r="AI71" s="3">
        <f>Z37</f>
        <v>170.74505280991917</v>
      </c>
    </row>
    <row r="72" spans="1:35" x14ac:dyDescent="0.15">
      <c r="A72" s="2" t="s">
        <v>112</v>
      </c>
      <c r="B72" s="3">
        <f>$AA$4</f>
        <v>13.325597989886063</v>
      </c>
      <c r="C72" s="3">
        <f>$AA$5</f>
        <v>14.439701571631833</v>
      </c>
      <c r="D72" s="3">
        <f>$AA$6</f>
        <v>20.043638479151234</v>
      </c>
      <c r="E72" s="3">
        <f>$AA$7</f>
        <v>25.394643344918194</v>
      </c>
      <c r="F72" s="3">
        <f>$AA$8</f>
        <v>29.898050965152944</v>
      </c>
      <c r="G72" s="3">
        <f>$AA$9</f>
        <v>34.596845231190485</v>
      </c>
      <c r="H72" s="3">
        <f>$AA$10</f>
        <v>39.896764091756694</v>
      </c>
      <c r="I72" s="3">
        <f>$AA$11</f>
        <v>44.164905769647724</v>
      </c>
      <c r="J72" s="3">
        <f>$AA$12</f>
        <v>47.023704160826284</v>
      </c>
      <c r="K72" s="3">
        <f>$AA$13</f>
        <v>49.611100774109687</v>
      </c>
      <c r="L72" s="3">
        <f>$AA$14</f>
        <v>51.734290811726346</v>
      </c>
      <c r="M72" s="3">
        <f>$AA$15</f>
        <v>55.933792446107624</v>
      </c>
      <c r="N72" s="3">
        <f>$AA$16</f>
        <v>59.225486480489344</v>
      </c>
      <c r="O72" s="3">
        <f>$AA$17</f>
        <v>62.84247836584872</v>
      </c>
      <c r="P72" s="3">
        <f>$AA$18</f>
        <v>66.693334816262009</v>
      </c>
      <c r="Q72" s="3">
        <f>$AA$19</f>
        <v>70.901938773451448</v>
      </c>
      <c r="R72" s="3">
        <f>$AA$20</f>
        <v>74.619669466933033</v>
      </c>
      <c r="S72" s="3">
        <f>$AA$21</f>
        <v>77.882761052901898</v>
      </c>
      <c r="T72" s="3">
        <f>$AA$22</f>
        <v>82.298428305347898</v>
      </c>
      <c r="U72" s="3">
        <f>$AA$23</f>
        <v>86.036599796088765</v>
      </c>
      <c r="V72" s="3">
        <f>$AA$24</f>
        <v>87.502562646941286</v>
      </c>
      <c r="W72" s="3">
        <f>$AA$25</f>
        <v>91.324997358058383</v>
      </c>
      <c r="X72" s="3">
        <f>$AA$26</f>
        <v>94.270620263577882</v>
      </c>
      <c r="Y72" s="3">
        <f>$AA$27</f>
        <v>100</v>
      </c>
      <c r="Z72" s="3">
        <f>$AA$28</f>
        <v>106.56759492945871</v>
      </c>
      <c r="AA72" s="3">
        <f>$AA$29</f>
        <v>112.1139053698939</v>
      </c>
      <c r="AB72" s="3">
        <f>$AA$30</f>
        <v>116.9561164005501</v>
      </c>
      <c r="AC72" s="3">
        <f>$AA$31</f>
        <v>122.35924351433469</v>
      </c>
      <c r="AD72" s="3">
        <f>$AA$32</f>
        <v>127.85069301372185</v>
      </c>
      <c r="AE72" s="3">
        <f>$AA$33</f>
        <v>136.37405056451846</v>
      </c>
      <c r="AF72" s="3">
        <f>$AA$34</f>
        <v>142.75049722265754</v>
      </c>
      <c r="AG72" s="3">
        <f>AA35</f>
        <v>148.25328927508755</v>
      </c>
      <c r="AH72" s="3">
        <f>AA36</f>
        <v>155.06976912647826</v>
      </c>
      <c r="AI72" s="3">
        <f>AA37</f>
        <v>160.96242035328441</v>
      </c>
    </row>
    <row r="73" spans="1:35" x14ac:dyDescent="0.15">
      <c r="A73" s="2" t="s">
        <v>115</v>
      </c>
      <c r="B73" s="3">
        <f>$AB$4</f>
        <v>12.504362136263655</v>
      </c>
      <c r="C73" s="3">
        <f>$AB$5</f>
        <v>13.54980524913792</v>
      </c>
      <c r="D73" s="3">
        <f>$AB$6</f>
        <v>18.808380251444078</v>
      </c>
      <c r="E73" s="3">
        <f>$AB$7</f>
        <v>23.829611019867635</v>
      </c>
      <c r="F73" s="3">
        <f>$AB$8</f>
        <v>28.055480641130771</v>
      </c>
      <c r="G73" s="3">
        <f>$AB$9</f>
        <v>32.464695533470092</v>
      </c>
      <c r="H73" s="3">
        <f>$AB$10</f>
        <v>37.437988647642776</v>
      </c>
      <c r="I73" s="3">
        <f>$AB$11</f>
        <v>41.443091400234962</v>
      </c>
      <c r="J73" s="3">
        <f>$AB$12</f>
        <v>44.125706498258808</v>
      </c>
      <c r="K73" s="3">
        <f>$AB$13</f>
        <v>46.553645887334916</v>
      </c>
      <c r="L73" s="3">
        <f>$AB$14</f>
        <v>48.54598702914457</v>
      </c>
      <c r="M73" s="3">
        <f>$AB$15</f>
        <v>52.486679917222865</v>
      </c>
      <c r="N73" s="3">
        <f>$AB$16</f>
        <v>55.575511974060241</v>
      </c>
      <c r="O73" s="3">
        <f>$AB$17</f>
        <v>58.969594281870229</v>
      </c>
      <c r="P73" s="3">
        <f>$AB$18</f>
        <v>62.583128445761538</v>
      </c>
      <c r="Q73" s="3">
        <f>$AB$19</f>
        <v>66.532362694667384</v>
      </c>
      <c r="R73" s="3">
        <f>$AB$20</f>
        <v>70.020975434724534</v>
      </c>
      <c r="S73" s="3">
        <f>$AB$21</f>
        <v>73.082967767505266</v>
      </c>
      <c r="T73" s="3">
        <f>$AB$22</f>
        <v>77.226504323218023</v>
      </c>
      <c r="U73" s="3">
        <f>$AB$23</f>
        <v>80.734298126029572</v>
      </c>
      <c r="V73" s="3">
        <f>$AB$24</f>
        <v>82.109915969167432</v>
      </c>
      <c r="W73" s="3">
        <f>$AB$25</f>
        <v>85.696779981297297</v>
      </c>
      <c r="X73" s="3">
        <f>$AB$26</f>
        <v>88.460868734045562</v>
      </c>
      <c r="Y73" s="3">
        <f>$AB$27</f>
        <v>93.837155719047558</v>
      </c>
      <c r="Z73" s="3">
        <f>$AB$28</f>
        <v>100</v>
      </c>
      <c r="AA73" s="3">
        <f>$AB$29</f>
        <v>105.20449996465295</v>
      </c>
      <c r="AB73" s="3">
        <f>$AB$30</f>
        <v>109.7482930697347</v>
      </c>
      <c r="AC73" s="3">
        <f>$AB$31</f>
        <v>114.81843387319483</v>
      </c>
      <c r="AD73" s="3">
        <f>$AB$32</f>
        <v>119.97145389116764</v>
      </c>
      <c r="AE73" s="3">
        <f>$AB$33</f>
        <v>127.96953018859982</v>
      </c>
      <c r="AF73" s="3">
        <f>$AB$34</f>
        <v>133.95300636853983</v>
      </c>
      <c r="AG73" s="3">
        <f>AB35</f>
        <v>139.11666991567392</v>
      </c>
      <c r="AH73" s="3">
        <f>AB36</f>
        <v>145.51306072838094</v>
      </c>
      <c r="AI73" s="3">
        <f>AB37</f>
        <v>151.04255703605941</v>
      </c>
    </row>
    <row r="74" spans="1:35" x14ac:dyDescent="0.15">
      <c r="A74" s="2" t="s">
        <v>126</v>
      </c>
      <c r="B74" s="3">
        <f>$AC$4</f>
        <v>11.885767377312684</v>
      </c>
      <c r="C74" s="3">
        <f>$AC$5</f>
        <v>12.879492087971938</v>
      </c>
      <c r="D74" s="3">
        <f>$AC$6</f>
        <v>17.877923717867006</v>
      </c>
      <c r="E74" s="3">
        <f>$AC$7</f>
        <v>22.65075260837132</v>
      </c>
      <c r="F74" s="3">
        <f>$AC$8</f>
        <v>26.66756711980663</v>
      </c>
      <c r="G74" s="3">
        <f>$AC$9</f>
        <v>30.858656753634794</v>
      </c>
      <c r="H74" s="3">
        <f>$AC$10</f>
        <v>35.585919480840978</v>
      </c>
      <c r="I74" s="3">
        <f>$AC$11</f>
        <v>39.392888530584884</v>
      </c>
      <c r="J74" s="3">
        <f>$AC$12</f>
        <v>41.942793809280346</v>
      </c>
      <c r="K74" s="3">
        <f>$AC$13</f>
        <v>44.250622267085724</v>
      </c>
      <c r="L74" s="3">
        <f>$AC$14</f>
        <v>46.144401661008075</v>
      </c>
      <c r="M74" s="3">
        <f>$AC$15</f>
        <v>49.890147222654505</v>
      </c>
      <c r="N74" s="3">
        <f>$AC$16</f>
        <v>52.826173778434125</v>
      </c>
      <c r="O74" s="3">
        <f>$AC$17</f>
        <v>56.052349758501855</v>
      </c>
      <c r="P74" s="3">
        <f>$AC$18</f>
        <v>59.487121241761024</v>
      </c>
      <c r="Q74" s="3">
        <f>$AC$19</f>
        <v>63.240985620407116</v>
      </c>
      <c r="R74" s="3">
        <f>$AC$20</f>
        <v>66.557015582271163</v>
      </c>
      <c r="S74" s="3">
        <f>$AC$21</f>
        <v>69.467530183651832</v>
      </c>
      <c r="T74" s="3">
        <f>$AC$22</f>
        <v>73.40608467239035</v>
      </c>
      <c r="U74" s="3">
        <f>$AC$23</f>
        <v>76.740346803753653</v>
      </c>
      <c r="V74" s="3">
        <f>$AC$24</f>
        <v>78.047912396100045</v>
      </c>
      <c r="W74" s="3">
        <f>$AC$25</f>
        <v>81.457333108460233</v>
      </c>
      <c r="X74" s="3">
        <f>$AC$26</f>
        <v>84.084681514352539</v>
      </c>
      <c r="Y74" s="3">
        <f>$AC$27</f>
        <v>89.195001877843012</v>
      </c>
      <c r="Z74" s="3">
        <f>$AC$28</f>
        <v>95.052968298502833</v>
      </c>
      <c r="AA74" s="3">
        <f>$AC$29</f>
        <v>100</v>
      </c>
      <c r="AB74" s="3">
        <f>$AC$30</f>
        <v>104.31901021972291</v>
      </c>
      <c r="AC74" s="3">
        <f>$AC$31</f>
        <v>109.13832955032532</v>
      </c>
      <c r="AD74" s="3">
        <f>$AC$32</f>
        <v>114.0364280344245</v>
      </c>
      <c r="AE74" s="3">
        <f>$AC$33</f>
        <v>121.6388369619128</v>
      </c>
      <c r="AF74" s="3">
        <f>$AC$34</f>
        <v>127.32630867837962</v>
      </c>
      <c r="AG74" s="3">
        <f>AC35</f>
        <v>132.23452415287838</v>
      </c>
      <c r="AH74" s="3">
        <f>AC36</f>
        <v>138.31448348432909</v>
      </c>
      <c r="AI74" s="3">
        <f>AC37</f>
        <v>143.57043385673359</v>
      </c>
    </row>
    <row r="75" spans="1:35" x14ac:dyDescent="0.15">
      <c r="A75" s="2" t="s">
        <v>127</v>
      </c>
      <c r="B75" s="3">
        <f>$AD$4</f>
        <v>11.393673456331854</v>
      </c>
      <c r="C75" s="3">
        <f>$AD$5</f>
        <v>12.346256028354167</v>
      </c>
      <c r="D75" s="3">
        <f>$AD$6</f>
        <v>17.137742852631998</v>
      </c>
      <c r="E75" s="3">
        <f>$AD$7</f>
        <v>21.71296733036764</v>
      </c>
      <c r="F75" s="3">
        <f>$AD$8</f>
        <v>25.56347789692196</v>
      </c>
      <c r="G75" s="3">
        <f>$AD$9</f>
        <v>29.581048256342207</v>
      </c>
      <c r="H75" s="3">
        <f>$AD$10</f>
        <v>34.112593098695811</v>
      </c>
      <c r="I75" s="3">
        <f>$AD$11</f>
        <v>37.761946214417904</v>
      </c>
      <c r="J75" s="3">
        <f>$AD$12</f>
        <v>40.206280447770673</v>
      </c>
      <c r="K75" s="3">
        <f>$AD$13</f>
        <v>42.418560312144862</v>
      </c>
      <c r="L75" s="3">
        <f>$AD$14</f>
        <v>44.233933550381657</v>
      </c>
      <c r="M75" s="3">
        <f>$AD$15</f>
        <v>47.824597949666995</v>
      </c>
      <c r="N75" s="3">
        <f>$AD$16</f>
        <v>50.639067287130587</v>
      </c>
      <c r="O75" s="3">
        <f>$AD$17</f>
        <v>53.731673297552426</v>
      </c>
      <c r="P75" s="3">
        <f>$AD$18</f>
        <v>57.024238551023167</v>
      </c>
      <c r="Q75" s="3">
        <f>$AD$19</f>
        <v>60.62268563247023</v>
      </c>
      <c r="R75" s="3">
        <f>$AD$20</f>
        <v>63.80142549482094</v>
      </c>
      <c r="S75" s="3">
        <f>$AD$21</f>
        <v>66.591439122490883</v>
      </c>
      <c r="T75" s="3">
        <f>$AD$22</f>
        <v>70.366929783725979</v>
      </c>
      <c r="U75" s="3">
        <f>$AD$23</f>
        <v>73.563146968245348</v>
      </c>
      <c r="V75" s="3">
        <f>$AD$24</f>
        <v>74.816576798141469</v>
      </c>
      <c r="W75" s="3">
        <f>$AD$25</f>
        <v>78.084840852007659</v>
      </c>
      <c r="X75" s="3">
        <f>$AD$26</f>
        <v>80.603411916244568</v>
      </c>
      <c r="Y75" s="3">
        <f>$AD$27</f>
        <v>85.502155062605738</v>
      </c>
      <c r="Z75" s="3">
        <f>$AD$28</f>
        <v>91.117590263075357</v>
      </c>
      <c r="AA75" s="3">
        <f>$AD$29</f>
        <v>95.859805216109734</v>
      </c>
      <c r="AB75" s="3">
        <f>$AD$30</f>
        <v>100</v>
      </c>
      <c r="AC75" s="3">
        <f>$AD$31</f>
        <v>104.6197901230578</v>
      </c>
      <c r="AD75" s="3">
        <f>$AD$32</f>
        <v>109.31509778920849</v>
      </c>
      <c r="AE75" s="3">
        <f>$AD$33</f>
        <v>116.60275217883091</v>
      </c>
      <c r="AF75" s="3">
        <f>$AD$34</f>
        <v>122.05475148795735</v>
      </c>
      <c r="AG75" s="3">
        <f>AD35</f>
        <v>126.75975728139879</v>
      </c>
      <c r="AH75" s="3">
        <f>AD36</f>
        <v>132.58799445374615</v>
      </c>
      <c r="AI75" s="3">
        <f>AD37</f>
        <v>137.62633824298848</v>
      </c>
    </row>
    <row r="76" spans="1:35" x14ac:dyDescent="0.15">
      <c r="A76" s="2" t="s">
        <v>128</v>
      </c>
      <c r="B76" s="3">
        <f>$AE$4</f>
        <v>10.890552774891042</v>
      </c>
      <c r="C76" s="3">
        <f>$AE$5</f>
        <v>11.801071301932483</v>
      </c>
      <c r="D76" s="3">
        <f>$AE$6</f>
        <v>16.380976135082982</v>
      </c>
      <c r="E76" s="3">
        <f>$AE$7</f>
        <v>20.754168312542035</v>
      </c>
      <c r="F76" s="3">
        <f>$AE$8</f>
        <v>24.434648422495613</v>
      </c>
      <c r="G76" s="3">
        <f>$AE$9</f>
        <v>28.274811315858926</v>
      </c>
      <c r="H76" s="3">
        <f>$AE$10</f>
        <v>32.606252658862417</v>
      </c>
      <c r="I76" s="3">
        <f>$AE$11</f>
        <v>36.094458008375724</v>
      </c>
      <c r="J76" s="3">
        <f>$AE$12</f>
        <v>38.430855577590542</v>
      </c>
      <c r="K76" s="3">
        <f>$AE$13</f>
        <v>40.545445811208886</v>
      </c>
      <c r="L76" s="3">
        <f>$AE$14</f>
        <v>42.28065598138938</v>
      </c>
      <c r="M76" s="3">
        <f>$AE$15</f>
        <v>45.712764184877329</v>
      </c>
      <c r="N76" s="3">
        <f>$AE$16</f>
        <v>48.402952469668492</v>
      </c>
      <c r="O76" s="3">
        <f>$AE$17</f>
        <v>51.358995496312112</v>
      </c>
      <c r="P76" s="3">
        <f>$AE$18</f>
        <v>54.506167985950917</v>
      </c>
      <c r="Q76" s="3">
        <f>$AE$19</f>
        <v>57.945715204707938</v>
      </c>
      <c r="R76" s="3">
        <f>$AE$20</f>
        <v>60.984088593348616</v>
      </c>
      <c r="S76" s="3">
        <f>$AE$21</f>
        <v>63.650901081108543</v>
      </c>
      <c r="T76" s="3">
        <f>$AE$22</f>
        <v>67.259674007143104</v>
      </c>
      <c r="U76" s="3">
        <f>$AE$23</f>
        <v>70.314752956125758</v>
      </c>
      <c r="V76" s="3">
        <f>$AE$24</f>
        <v>71.512833958220853</v>
      </c>
      <c r="W76" s="3">
        <f>$AE$25</f>
        <v>74.636778338172235</v>
      </c>
      <c r="X76" s="3">
        <f>$AE$26</f>
        <v>77.044134595792784</v>
      </c>
      <c r="Y76" s="3">
        <f>$AE$27</f>
        <v>81.726559537191605</v>
      </c>
      <c r="Z76" s="3">
        <f>$AE$28</f>
        <v>87.094028917377258</v>
      </c>
      <c r="AA76" s="3">
        <f>$AE$29</f>
        <v>91.626837621597005</v>
      </c>
      <c r="AB76" s="3">
        <f>$AE$30</f>
        <v>95.584210102482686</v>
      </c>
      <c r="AC76" s="3">
        <f>$AE$31</f>
        <v>100</v>
      </c>
      <c r="AD76" s="3">
        <f>$AE$32</f>
        <v>104.48797274457147</v>
      </c>
      <c r="AE76" s="3">
        <f>$AE$33</f>
        <v>111.45381962789097</v>
      </c>
      <c r="AF76" s="3">
        <f>$AE$34</f>
        <v>116.66507010231226</v>
      </c>
      <c r="AG76" s="3">
        <f>AE35</f>
        <v>121.16231272524934</v>
      </c>
      <c r="AH76" s="3">
        <f>AE36</f>
        <v>126.73318718933682</v>
      </c>
      <c r="AI76" s="3">
        <f>AE37</f>
        <v>131.54904830253159</v>
      </c>
    </row>
    <row r="77" spans="1:35" x14ac:dyDescent="0.15">
      <c r="A77" s="2" t="s">
        <v>142</v>
      </c>
      <c r="B77" s="3">
        <f>$AF$4</f>
        <v>10.422781195605928</v>
      </c>
      <c r="C77" s="3">
        <f>$AF$5</f>
        <v>11.294191084347162</v>
      </c>
      <c r="D77" s="3">
        <f>$AF$6</f>
        <v>15.677379611074931</v>
      </c>
      <c r="E77" s="3">
        <f>$AF$7</f>
        <v>19.862734214661362</v>
      </c>
      <c r="F77" s="3">
        <f>$AF$8</f>
        <v>23.385130154862807</v>
      </c>
      <c r="G77" s="3">
        <f>$AF$9</f>
        <v>27.060350175401322</v>
      </c>
      <c r="H77" s="3">
        <f>$AF$10</f>
        <v>31.205747228507153</v>
      </c>
      <c r="I77" s="3">
        <f>$AF$11</f>
        <v>34.544127003603833</v>
      </c>
      <c r="J77" s="3">
        <f>$AF$12</f>
        <v>36.780171505037806</v>
      </c>
      <c r="K77" s="3">
        <f>$AF$13</f>
        <v>38.803935750888009</v>
      </c>
      <c r="L77" s="3">
        <f>$AF$14</f>
        <v>40.464615085171154</v>
      </c>
      <c r="M77" s="3">
        <f>$AF$15</f>
        <v>43.749307201725067</v>
      </c>
      <c r="N77" s="3">
        <f>$AF$16</f>
        <v>46.323946381841544</v>
      </c>
      <c r="O77" s="3">
        <f>$AF$17</f>
        <v>49.153021297353476</v>
      </c>
      <c r="P77" s="3">
        <f>$AF$18</f>
        <v>52.16501627339948</v>
      </c>
      <c r="Q77" s="3">
        <f>$AF$19</f>
        <v>55.456827884258509</v>
      </c>
      <c r="R77" s="3">
        <f>$AF$20</f>
        <v>58.364696903851986</v>
      </c>
      <c r="S77" s="3">
        <f>$AF$21</f>
        <v>60.916964325365811</v>
      </c>
      <c r="T77" s="3">
        <f>$AF$22</f>
        <v>64.370733052276094</v>
      </c>
      <c r="U77" s="3">
        <f>$AF$23</f>
        <v>67.294590094130115</v>
      </c>
      <c r="V77" s="3">
        <f>$AF$24</f>
        <v>68.441211059802299</v>
      </c>
      <c r="W77" s="3">
        <f>$AF$25</f>
        <v>71.43097562111511</v>
      </c>
      <c r="X77" s="3">
        <f>$AF$26</f>
        <v>73.73493098974447</v>
      </c>
      <c r="Y77" s="3">
        <f>$AF$27</f>
        <v>78.216236175792403</v>
      </c>
      <c r="Z77" s="3">
        <f>$AF$28</f>
        <v>83.353161736887188</v>
      </c>
      <c r="AA77" s="3">
        <f>$AF$29</f>
        <v>87.691277010020613</v>
      </c>
      <c r="AB77" s="3">
        <f>$AF$30</f>
        <v>91.478672225888928</v>
      </c>
      <c r="AC77" s="3">
        <f>$AF$31</f>
        <v>95.704794890084969</v>
      </c>
      <c r="AD77" s="3">
        <f>$AF$32</f>
        <v>100</v>
      </c>
      <c r="AE77" s="3">
        <f>$AF$33</f>
        <v>106.6666494720383</v>
      </c>
      <c r="AF77" s="3">
        <f>$AF$34</f>
        <v>111.65406604979179</v>
      </c>
      <c r="AG77" s="3">
        <f>AF35</f>
        <v>115.95814287778319</v>
      </c>
      <c r="AH77" s="3">
        <f>AF36</f>
        <v>121.28973685722224</v>
      </c>
      <c r="AI77" s="3">
        <f>AF37</f>
        <v>125.89874685779667</v>
      </c>
    </row>
    <row r="78" spans="1:35" x14ac:dyDescent="0.15">
      <c r="A78" s="2" t="s">
        <v>153</v>
      </c>
      <c r="B78" s="3">
        <f>$AG$4</f>
        <v>9.7713589460201096</v>
      </c>
      <c r="C78" s="3">
        <f>$AG$5</f>
        <v>10.588305848406565</v>
      </c>
      <c r="D78" s="3">
        <f>$AG$6</f>
        <v>14.697545754621846</v>
      </c>
      <c r="E78" s="3">
        <f>$AG$7</f>
        <v>18.621316327994535</v>
      </c>
      <c r="F78" s="3">
        <f>$AG$8</f>
        <v>21.923563054254373</v>
      </c>
      <c r="G78" s="3">
        <f>$AG$9</f>
        <v>25.369082378925711</v>
      </c>
      <c r="H78" s="3">
        <f>$AG$10</f>
        <v>29.255392742684261</v>
      </c>
      <c r="I78" s="3">
        <f>$AG$11</f>
        <v>32.385124286348997</v>
      </c>
      <c r="J78" s="3">
        <f>$AG$12</f>
        <v>34.481416344364874</v>
      </c>
      <c r="K78" s="3">
        <f>$AG$13</f>
        <v>36.378695630690174</v>
      </c>
      <c r="L78" s="3">
        <f>$AG$14</f>
        <v>37.935582757550272</v>
      </c>
      <c r="M78" s="3">
        <f>$AG$15</f>
        <v>41.014982113217641</v>
      </c>
      <c r="N78" s="3">
        <f>$AG$16</f>
        <v>43.428706733668378</v>
      </c>
      <c r="O78" s="3">
        <f>$AG$17</f>
        <v>46.080964894503879</v>
      </c>
      <c r="P78" s="3">
        <f>$AG$18</f>
        <v>48.9047106397338</v>
      </c>
      <c r="Q78" s="3">
        <f>$AG$19</f>
        <v>51.990784522388147</v>
      </c>
      <c r="R78" s="3">
        <f>$AG$20</f>
        <v>54.716912167707832</v>
      </c>
      <c r="S78" s="3">
        <f>$AG$21</f>
        <v>57.109663261087654</v>
      </c>
      <c r="T78" s="3">
        <f>$AG$22</f>
        <v>60.34757196451578</v>
      </c>
      <c r="U78" s="3">
        <f>$AG$23</f>
        <v>63.088688383120896</v>
      </c>
      <c r="V78" s="3">
        <f>$AG$24</f>
        <v>64.163645711721301</v>
      </c>
      <c r="W78" s="3">
        <f>$AG$25</f>
        <v>66.966550439779297</v>
      </c>
      <c r="X78" s="3">
        <f>$AG$26</f>
        <v>69.12650894605386</v>
      </c>
      <c r="Y78" s="3">
        <f>$AG$27</f>
        <v>73.327733235209649</v>
      </c>
      <c r="Z78" s="3">
        <f>$AG$28</f>
        <v>78.143601725052278</v>
      </c>
      <c r="AA78" s="3">
        <f>$AG$29</f>
        <v>82.21058544921118</v>
      </c>
      <c r="AB78" s="3">
        <f>$AG$30</f>
        <v>85.761269036456639</v>
      </c>
      <c r="AC78" s="3">
        <f>$AG$31</f>
        <v>89.723259672811892</v>
      </c>
      <c r="AD78" s="3">
        <f>$AG$32</f>
        <v>93.750015112468773</v>
      </c>
      <c r="AE78" s="3">
        <f>$AG$33</f>
        <v>100</v>
      </c>
      <c r="AF78" s="3">
        <f>$AG$34</f>
        <v>104.67570379536566</v>
      </c>
      <c r="AG78" s="3">
        <f>AG35</f>
        <v>108.71077647205986</v>
      </c>
      <c r="AH78" s="3">
        <f>AG36</f>
        <v>113.70914663351945</v>
      </c>
      <c r="AI78" s="3">
        <f>AG37</f>
        <v>118.03009420559319</v>
      </c>
    </row>
    <row r="79" spans="1:35" x14ac:dyDescent="0.15">
      <c r="A79" s="2" t="s">
        <v>165</v>
      </c>
      <c r="B79" s="3">
        <f>$AH$4</f>
        <v>9.3348872677488703</v>
      </c>
      <c r="C79" s="3">
        <f>$AH$5</f>
        <v>10.115342399900198</v>
      </c>
      <c r="D79" s="3">
        <f>$AH$6</f>
        <v>14.041028836409462</v>
      </c>
      <c r="E79" s="3">
        <f>$AH$7</f>
        <v>17.789530571867964</v>
      </c>
      <c r="F79" s="3">
        <f>$AH$8</f>
        <v>20.944270981080329</v>
      </c>
      <c r="G79" s="3">
        <f>$AH$9</f>
        <v>24.235884220583458</v>
      </c>
      <c r="H79" s="3">
        <f>$AH$10</f>
        <v>27.94859903677045</v>
      </c>
      <c r="I79" s="3">
        <f>$AH$11</f>
        <v>30.938530253075587</v>
      </c>
      <c r="J79" s="3">
        <f>$AH$12</f>
        <v>32.941184146966755</v>
      </c>
      <c r="K79" s="3">
        <f>$AH$13</f>
        <v>34.753714865684792</v>
      </c>
      <c r="L79" s="3">
        <f>$AH$14</f>
        <v>36.241058222748535</v>
      </c>
      <c r="M79" s="3">
        <f>$AH$15</f>
        <v>39.182905513011228</v>
      </c>
      <c r="N79" s="3">
        <f>$AH$16</f>
        <v>41.488812741654677</v>
      </c>
      <c r="O79" s="3">
        <f>$AH$17</f>
        <v>44.022598581796238</v>
      </c>
      <c r="P79" s="3">
        <f>$AH$18</f>
        <v>46.720211917886303</v>
      </c>
      <c r="Q79" s="3">
        <f>$AH$19</f>
        <v>49.668435594210877</v>
      </c>
      <c r="R79" s="3">
        <f>$AH$20</f>
        <v>52.272791281801091</v>
      </c>
      <c r="S79" s="3">
        <f>$AH$21</f>
        <v>54.558661838790599</v>
      </c>
      <c r="T79" s="3">
        <f>$AH$22</f>
        <v>57.651938106374168</v>
      </c>
      <c r="U79" s="3">
        <f>$AH$23</f>
        <v>60.270613041642648</v>
      </c>
      <c r="V79" s="3">
        <f>$AH$24</f>
        <v>61.297553668382442</v>
      </c>
      <c r="W79" s="3">
        <f>$AH$25</f>
        <v>63.975256923702787</v>
      </c>
      <c r="X79" s="3">
        <f>$AH$26</f>
        <v>66.038733382860059</v>
      </c>
      <c r="Y79" s="3">
        <f>$AH$27</f>
        <v>70.052295400430921</v>
      </c>
      <c r="Z79" s="3">
        <f>$AH$28</f>
        <v>74.653046401119056</v>
      </c>
      <c r="AA79" s="3">
        <f>$AH$29</f>
        <v>78.538364174677668</v>
      </c>
      <c r="AB79" s="3">
        <f>$AH$30</f>
        <v>81.930444149785203</v>
      </c>
      <c r="AC79" s="3">
        <f>$AH$31</f>
        <v>85.715458716394338</v>
      </c>
      <c r="AD79" s="3">
        <f>$AH$32</f>
        <v>89.56234514147053</v>
      </c>
      <c r="AE79" s="3">
        <f>$AH$33</f>
        <v>95.533152750989501</v>
      </c>
      <c r="AF79" s="3">
        <f>$AH$34</f>
        <v>100</v>
      </c>
      <c r="AG79" s="3">
        <f>AH35</f>
        <v>103.8548321438397</v>
      </c>
      <c r="AH79" s="3">
        <f>AH36</f>
        <v>108.62993274524678</v>
      </c>
      <c r="AI79" s="3">
        <f>AH37</f>
        <v>112.75787018956613</v>
      </c>
    </row>
    <row r="80" spans="1:35" x14ac:dyDescent="0.15">
      <c r="A80" s="2" t="s">
        <v>168</v>
      </c>
      <c r="B80" s="3">
        <f>$AI$4</f>
        <v>8.988399552579299</v>
      </c>
      <c r="C80" s="3">
        <f>$AI$5</f>
        <v>9.7398861382688224</v>
      </c>
      <c r="D80" s="3">
        <f>$AI$6</f>
        <v>13.519860892907259</v>
      </c>
      <c r="E80" s="3">
        <f>$AI$7</f>
        <v>17.129227600338648</v>
      </c>
      <c r="F80" s="3">
        <f>$AI$8</f>
        <v>20.166871919904853</v>
      </c>
      <c r="G80" s="3">
        <f>$AI$9</f>
        <v>23.336308691940864</v>
      </c>
      <c r="H80" s="3">
        <f>$AI$10</f>
        <v>26.911216801218679</v>
      </c>
      <c r="I80" s="3">
        <f>$AI$11</f>
        <v>29.790169233748792</v>
      </c>
      <c r="J80" s="3">
        <f>$AI$12</f>
        <v>31.718489613793778</v>
      </c>
      <c r="K80" s="3">
        <f>$AI$13</f>
        <v>33.46374371637387</v>
      </c>
      <c r="L80" s="3">
        <f>$AI$14</f>
        <v>34.895880600485107</v>
      </c>
      <c r="M80" s="3">
        <f>$AI$15</f>
        <v>37.728533862288288</v>
      </c>
      <c r="N80" s="3">
        <f>$AI$16</f>
        <v>39.948851570230609</v>
      </c>
      <c r="O80" s="3">
        <f>$AI$17</f>
        <v>42.388589604405325</v>
      </c>
      <c r="P80" s="3">
        <f>$AI$18</f>
        <v>44.986074266798163</v>
      </c>
      <c r="Q80" s="3">
        <f>$AI$19</f>
        <v>47.824867239128295</v>
      </c>
      <c r="R80" s="3">
        <f>$AI$20</f>
        <v>50.332555744159194</v>
      </c>
      <c r="S80" s="3">
        <f>$AI$21</f>
        <v>52.53358049168714</v>
      </c>
      <c r="T80" s="3">
        <f>$AI$22</f>
        <v>55.512042065145138</v>
      </c>
      <c r="U80" s="3">
        <f>$AI$23</f>
        <v>58.033518323121847</v>
      </c>
      <c r="V80" s="3">
        <f>$AI$24</f>
        <v>59.022341477077234</v>
      </c>
      <c r="W80" s="3">
        <f>$AI$25</f>
        <v>61.600655071202262</v>
      </c>
      <c r="X80" s="3">
        <f>$AI$26</f>
        <v>63.58754043470595</v>
      </c>
      <c r="Y80" s="3">
        <f>$AI$27</f>
        <v>67.45212904817754</v>
      </c>
      <c r="Z80" s="3">
        <f>$AI$28</f>
        <v>71.882111655357591</v>
      </c>
      <c r="AA80" s="3">
        <f>$AI$29</f>
        <v>75.623216131052473</v>
      </c>
      <c r="AB80" s="3">
        <f>$AI$30</f>
        <v>78.889390564235782</v>
      </c>
      <c r="AC80" s="3">
        <f>$AI$31</f>
        <v>82.53391483766282</v>
      </c>
      <c r="AD80" s="3">
        <f>$AI$32</f>
        <v>86.238014440604957</v>
      </c>
      <c r="AE80" s="3">
        <f>$AI$33</f>
        <v>91.987200575005872</v>
      </c>
      <c r="AF80" s="3">
        <f>$AI$34</f>
        <v>96.288249603542056</v>
      </c>
      <c r="AG80" s="3">
        <f>AI35</f>
        <v>100</v>
      </c>
      <c r="AH80" s="3">
        <f>AI36</f>
        <v>104.59786078590308</v>
      </c>
      <c r="AI80" s="3">
        <f>AI37</f>
        <v>108.57257949576737</v>
      </c>
    </row>
    <row r="81" spans="1:35" x14ac:dyDescent="0.15">
      <c r="A81" s="2" t="s">
        <v>170</v>
      </c>
      <c r="B81" s="3">
        <f>$AJ$4</f>
        <v>8.593291951713308</v>
      </c>
      <c r="C81" s="3">
        <f>$AJ$5</f>
        <v>9.3117450635104131</v>
      </c>
      <c r="D81" s="3">
        <f>$AJ$6</f>
        <v>12.925561566292917</v>
      </c>
      <c r="E81" s="3">
        <f>$AJ$7</f>
        <v>16.376269525626093</v>
      </c>
      <c r="F81" s="3">
        <f>$AJ$8</f>
        <v>19.280386585709977</v>
      </c>
      <c r="G81" s="3">
        <f>$AJ$9</f>
        <v>22.31050283113052</v>
      </c>
      <c r="H81" s="3">
        <f>$AJ$10</f>
        <v>25.728266906244006</v>
      </c>
      <c r="I81" s="3">
        <f>$AJ$11</f>
        <v>28.480667778402303</v>
      </c>
      <c r="J81" s="3">
        <f>$AJ$12</f>
        <v>30.32422400943458</v>
      </c>
      <c r="K81" s="3">
        <f>$AJ$13</f>
        <v>31.992761099454409</v>
      </c>
      <c r="L81" s="3">
        <f>$AJ$14</f>
        <v>33.361944822095367</v>
      </c>
      <c r="M81" s="3">
        <f>$AJ$15</f>
        <v>36.070081719465783</v>
      </c>
      <c r="N81" s="3">
        <f>$AJ$16</f>
        <v>38.19279980495989</v>
      </c>
      <c r="O81" s="3">
        <f>$AJ$17</f>
        <v>40.525293047023908</v>
      </c>
      <c r="P81" s="3">
        <f>$AJ$18</f>
        <v>43.008598769412934</v>
      </c>
      <c r="Q81" s="3">
        <f>$AJ$19</f>
        <v>45.722605490966004</v>
      </c>
      <c r="R81" s="3">
        <f>$AJ$20</f>
        <v>48.120062270855399</v>
      </c>
      <c r="S81" s="3">
        <f>$AJ$21</f>
        <v>50.224335466301653</v>
      </c>
      <c r="T81" s="3">
        <f>$AJ$22</f>
        <v>53.071871306020668</v>
      </c>
      <c r="U81" s="3">
        <f>$AJ$23</f>
        <v>55.482509763663522</v>
      </c>
      <c r="V81" s="3">
        <f>$AJ$24</f>
        <v>56.427866720799926</v>
      </c>
      <c r="W81" s="3">
        <f>$AJ$25</f>
        <v>58.892844087213248</v>
      </c>
      <c r="X81" s="3">
        <f>$AJ$26</f>
        <v>60.792390931264443</v>
      </c>
      <c r="Y81" s="3">
        <f>$AJ$27</f>
        <v>64.487101878921251</v>
      </c>
      <c r="Z81" s="3">
        <f>$AJ$28</f>
        <v>68.722353512076168</v>
      </c>
      <c r="AA81" s="3">
        <f>$AJ$29</f>
        <v>72.299008376320856</v>
      </c>
      <c r="AB81" s="3">
        <f>$AJ$30</f>
        <v>75.421609936852462</v>
      </c>
      <c r="AC81" s="3">
        <f>$AJ$31</f>
        <v>78.905930023366352</v>
      </c>
      <c r="AD81" s="3">
        <f>$AJ$32</f>
        <v>82.447206656665657</v>
      </c>
      <c r="AE81" s="3">
        <f>$AJ$33</f>
        <v>87.943672923952604</v>
      </c>
      <c r="AF81" s="3">
        <f>$AJ$34</f>
        <v>92.055658576641818</v>
      </c>
      <c r="AG81" s="3">
        <f>$AJ$35</f>
        <v>95.604249693677545</v>
      </c>
      <c r="AH81" s="3">
        <f>$AJ$36</f>
        <v>100</v>
      </c>
      <c r="AI81" s="3">
        <f>AJ37</f>
        <v>103.8</v>
      </c>
    </row>
    <row r="82" spans="1:35" x14ac:dyDescent="0.15">
      <c r="A82" s="2" t="s">
        <v>176</v>
      </c>
      <c r="B82" s="3">
        <f>$AK$4</f>
        <v>8.2787013022286207</v>
      </c>
      <c r="C82" s="3">
        <f>$AK$5</f>
        <v>8.9708526623414393</v>
      </c>
      <c r="D82" s="3">
        <f>$AK$6</f>
        <v>12.452371451149247</v>
      </c>
      <c r="E82" s="3">
        <f>$AK$7</f>
        <v>15.776752914861362</v>
      </c>
      <c r="F82" s="3">
        <f>$AK$8</f>
        <v>18.574553550780326</v>
      </c>
      <c r="G82" s="3">
        <f>$AK$9</f>
        <v>21.493740685096839</v>
      </c>
      <c r="H82" s="3">
        <f>$AK$10</f>
        <v>24.786384302739894</v>
      </c>
      <c r="I82" s="3">
        <f>$AK$11</f>
        <v>27.438022907902027</v>
      </c>
      <c r="J82" s="3">
        <f>$AK$12</f>
        <v>29.214088641073776</v>
      </c>
      <c r="K82" s="3">
        <f>$AK$13</f>
        <v>30.821542485023514</v>
      </c>
      <c r="L82" s="3">
        <f>$AK$14</f>
        <v>32.140601948068756</v>
      </c>
      <c r="M82" s="3">
        <f>$AK$15</f>
        <v>34.749597032240636</v>
      </c>
      <c r="N82" s="3">
        <f>$AK$16</f>
        <v>36.794604821734005</v>
      </c>
      <c r="O82" s="3">
        <f>$AK$17</f>
        <v>39.041708137787964</v>
      </c>
      <c r="P82" s="3">
        <f>$AK$18</f>
        <v>41.434102860706105</v>
      </c>
      <c r="Q82" s="3">
        <f>$AK$19</f>
        <v>44.048752881470136</v>
      </c>
      <c r="R82" s="3">
        <f>$AK$20</f>
        <v>46.358441494080353</v>
      </c>
      <c r="S82" s="3">
        <f>$AK$21</f>
        <v>48.385679639982321</v>
      </c>
      <c r="T82" s="3">
        <f>$AK$22</f>
        <v>51.128970429692359</v>
      </c>
      <c r="U82" s="3">
        <f>$AK$23</f>
        <v>53.451358153818418</v>
      </c>
      <c r="V82" s="3">
        <f>$AK$24</f>
        <v>54.362106667437303</v>
      </c>
      <c r="W82" s="3">
        <f>$AK$25</f>
        <v>56.736844014656306</v>
      </c>
      <c r="X82" s="3">
        <f>$AK$26</f>
        <v>58.566850608154574</v>
      </c>
      <c r="Y82" s="3">
        <f>$AK$27</f>
        <v>62.126302388170764</v>
      </c>
      <c r="Z82" s="3">
        <f>$AK$28</f>
        <v>66.206506273676453</v>
      </c>
      <c r="AA82" s="3">
        <f>$AK$29</f>
        <v>69.652223869287909</v>
      </c>
      <c r="AB82" s="3">
        <f>$AK$30</f>
        <v>72.660510536466745</v>
      </c>
      <c r="AC82" s="3">
        <f>$AK$31</f>
        <v>76.017273625593802</v>
      </c>
      <c r="AD82" s="3">
        <f>$AK$32</f>
        <v>79.428908147076754</v>
      </c>
      <c r="AE82" s="3">
        <f>$AK$33</f>
        <v>84.724155032709632</v>
      </c>
      <c r="AF82" s="3">
        <f>$AK$34</f>
        <v>88.685605565165531</v>
      </c>
      <c r="AG82" s="3">
        <f>$AK$35</f>
        <v>92.104286795450435</v>
      </c>
      <c r="AH82" s="3">
        <f>$AK$36</f>
        <v>96.339113680154142</v>
      </c>
      <c r="AI82" s="3">
        <f>AK37</f>
        <v>100</v>
      </c>
    </row>
  </sheetData>
  <sheetProtection algorithmName="SHA-512" hashValue="bDnW784rn82fDdJuZI4prA7QIhZrJK1jKjA8cFy05ZGkDG8+xzMysTylpanj8zmE9fSlf/xw5n60CxOy3WdNaw==" saltValue="2MRD18qzyJRHIamzoqcpMw==" spinCount="100000" sheet="1" objects="1" scenarios="1"/>
  <phoneticPr fontId="0" type="noConversion"/>
  <conditionalFormatting sqref="D4:X4 B4:B38 K5:X30 D5:J38 B49:AI82">
    <cfRule type="cellIs" dxfId="4" priority="0" stopIfTrue="1" operator="equal">
      <formula>100</formula>
    </cfRule>
  </conditionalFormatting>
  <conditionalFormatting sqref="K31:AE38">
    <cfRule type="cellIs" dxfId="3" priority="50" stopIfTrue="1" operator="equal">
      <formula>100</formula>
    </cfRule>
  </conditionalFormatting>
  <conditionalFormatting sqref="Y4:AE30">
    <cfRule type="cellIs" dxfId="2" priority="141" stopIfTrue="1" operator="equal">
      <formula>100</formula>
    </cfRule>
  </conditionalFormatting>
  <conditionalFormatting sqref="AF4:AJ38">
    <cfRule type="cellIs" dxfId="1" priority="46" stopIfTrue="1" operator="equal">
      <formula>100</formula>
    </cfRule>
  </conditionalFormatting>
  <conditionalFormatting sqref="AK4:AK37">
    <cfRule type="cellIs" dxfId="0" priority="3" stopIfTrue="1" operator="equal">
      <formula>100</formula>
    </cfRule>
  </conditionalFormatting>
  <hyperlinks>
    <hyperlink ref="B45" r:id="rId1" xr:uid="{9B9A0FE3-2C4F-464B-BAD5-676B80D12BB8}"/>
  </hyperlinks>
  <pageMargins left="0.75" right="0.75" top="1" bottom="1" header="0" footer="0"/>
  <pageSetup orientation="portrait" horizontalDpi="4294967292" verticalDpi="4294967292" r:id="rId2"/>
  <extLst>
    <ext xmlns:mx="http://schemas.microsoft.com/office/mac/excel/2008/main" uri="http://schemas.microsoft.com/office/mac/excel/2008/main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1"/>
  <sheetViews>
    <sheetView zoomScale="160" zoomScaleNormal="160" workbookViewId="0">
      <pane ySplit="5" topLeftCell="A120" activePane="bottomLeft" state="frozen"/>
      <selection pane="bottomLeft" activeCell="B135" sqref="B135"/>
    </sheetView>
  </sheetViews>
  <sheetFormatPr baseColWidth="10" defaultRowHeight="13" x14ac:dyDescent="0.15"/>
  <sheetData>
    <row r="1" spans="1:4" x14ac:dyDescent="0.15">
      <c r="A1" s="13" t="s">
        <v>44</v>
      </c>
    </row>
    <row r="2" spans="1:4" x14ac:dyDescent="0.15">
      <c r="A2" s="26" t="s">
        <v>188</v>
      </c>
    </row>
    <row r="3" spans="1:4" x14ac:dyDescent="0.15">
      <c r="A3" s="26" t="s">
        <v>189</v>
      </c>
    </row>
    <row r="4" spans="1:4" x14ac:dyDescent="0.15">
      <c r="A4" t="s">
        <v>0</v>
      </c>
    </row>
    <row r="5" spans="1:4" ht="14" x14ac:dyDescent="0.15">
      <c r="A5" s="21" t="s">
        <v>37</v>
      </c>
      <c r="B5" s="21" t="s">
        <v>166</v>
      </c>
    </row>
    <row r="6" spans="1:4" ht="14" x14ac:dyDescent="0.15">
      <c r="A6" s="21" t="s">
        <v>96</v>
      </c>
      <c r="B6">
        <v>11.5647870129</v>
      </c>
      <c r="D6" s="16" t="s">
        <v>1</v>
      </c>
    </row>
    <row r="7" spans="1:4" ht="14" x14ac:dyDescent="0.15">
      <c r="A7" s="21" t="s">
        <v>97</v>
      </c>
      <c r="B7">
        <v>11.705226190599999</v>
      </c>
      <c r="D7" s="16" t="s">
        <v>5</v>
      </c>
    </row>
    <row r="8" spans="1:4" ht="14" x14ac:dyDescent="0.15">
      <c r="A8" s="21" t="s">
        <v>98</v>
      </c>
      <c r="B8">
        <v>11.8004504718</v>
      </c>
      <c r="D8" s="16" t="s">
        <v>9</v>
      </c>
    </row>
    <row r="9" spans="1:4" ht="14" x14ac:dyDescent="0.15">
      <c r="A9" s="21" t="s">
        <v>1</v>
      </c>
      <c r="B9">
        <v>11.885767377800001</v>
      </c>
      <c r="D9" s="16" t="s">
        <v>13</v>
      </c>
    </row>
    <row r="10" spans="1:4" ht="14" x14ac:dyDescent="0.15">
      <c r="A10" s="21" t="s">
        <v>2</v>
      </c>
      <c r="B10">
        <v>12.4128810954</v>
      </c>
      <c r="D10" s="16" t="s">
        <v>17</v>
      </c>
    </row>
    <row r="11" spans="1:4" ht="14" x14ac:dyDescent="0.15">
      <c r="A11" s="21" t="s">
        <v>3</v>
      </c>
      <c r="B11">
        <v>12.5702470452</v>
      </c>
      <c r="D11" s="16" t="s">
        <v>21</v>
      </c>
    </row>
    <row r="12" spans="1:4" ht="14" x14ac:dyDescent="0.15">
      <c r="A12" s="21" t="s">
        <v>4</v>
      </c>
      <c r="B12">
        <v>12.7016405918</v>
      </c>
      <c r="D12" s="16" t="s">
        <v>65</v>
      </c>
    </row>
    <row r="13" spans="1:4" ht="14" x14ac:dyDescent="0.15">
      <c r="A13" s="21" t="s">
        <v>5</v>
      </c>
      <c r="B13">
        <v>12.879492088499999</v>
      </c>
      <c r="D13" s="16" t="s">
        <v>69</v>
      </c>
    </row>
    <row r="14" spans="1:4" ht="14" x14ac:dyDescent="0.15">
      <c r="A14" s="21" t="s">
        <v>6</v>
      </c>
      <c r="B14">
        <v>15.1397694797</v>
      </c>
      <c r="D14" s="16" t="s">
        <v>73</v>
      </c>
    </row>
    <row r="15" spans="1:4" ht="14" x14ac:dyDescent="0.15">
      <c r="A15" s="21" t="s">
        <v>7</v>
      </c>
      <c r="B15">
        <v>16.4013958926</v>
      </c>
      <c r="D15" s="16" t="s">
        <v>77</v>
      </c>
    </row>
    <row r="16" spans="1:4" ht="14" x14ac:dyDescent="0.15">
      <c r="A16" s="21" t="s">
        <v>8</v>
      </c>
      <c r="B16">
        <v>17.148405297499998</v>
      </c>
      <c r="D16" s="16" t="s">
        <v>81</v>
      </c>
    </row>
    <row r="17" spans="1:4" ht="14" x14ac:dyDescent="0.15">
      <c r="A17" s="21" t="s">
        <v>9</v>
      </c>
      <c r="B17">
        <v>17.877923718600002</v>
      </c>
      <c r="D17" s="16" t="s">
        <v>84</v>
      </c>
    </row>
    <row r="18" spans="1:4" ht="14" x14ac:dyDescent="0.15">
      <c r="A18" s="21" t="s">
        <v>10</v>
      </c>
      <c r="B18">
        <v>21.170689760399998</v>
      </c>
      <c r="D18" s="16" t="s">
        <v>88</v>
      </c>
    </row>
    <row r="19" spans="1:4" ht="14" x14ac:dyDescent="0.15">
      <c r="A19" s="21" t="s">
        <v>11</v>
      </c>
      <c r="B19">
        <v>21.693798305200001</v>
      </c>
      <c r="D19" s="16" t="s">
        <v>91</v>
      </c>
    </row>
    <row r="20" spans="1:4" ht="14" x14ac:dyDescent="0.15">
      <c r="A20" s="21" t="s">
        <v>12</v>
      </c>
      <c r="B20">
        <v>22.119614411899999</v>
      </c>
      <c r="D20" s="16" t="s">
        <v>95</v>
      </c>
    </row>
    <row r="21" spans="1:4" ht="14" x14ac:dyDescent="0.15">
      <c r="A21" s="21" t="s">
        <v>13</v>
      </c>
      <c r="B21">
        <v>22.6507526093</v>
      </c>
      <c r="D21" s="16" t="s">
        <v>63</v>
      </c>
    </row>
    <row r="22" spans="1:4" ht="14" x14ac:dyDescent="0.15">
      <c r="A22" s="21" t="s">
        <v>14</v>
      </c>
      <c r="B22">
        <v>25.362381952700002</v>
      </c>
      <c r="D22" s="16" t="s">
        <v>48</v>
      </c>
    </row>
    <row r="23" spans="1:4" ht="14" x14ac:dyDescent="0.15">
      <c r="A23" s="21" t="s">
        <v>15</v>
      </c>
      <c r="B23">
        <v>25.712173870600001</v>
      </c>
      <c r="D23" s="16" t="s">
        <v>53</v>
      </c>
    </row>
    <row r="24" spans="1:4" ht="14" x14ac:dyDescent="0.15">
      <c r="A24" s="21" t="s">
        <v>16</v>
      </c>
      <c r="B24">
        <v>26.1160239598</v>
      </c>
      <c r="D24" s="16" t="s">
        <v>41</v>
      </c>
    </row>
    <row r="25" spans="1:4" ht="14" x14ac:dyDescent="0.15">
      <c r="A25" s="21" t="s">
        <v>17</v>
      </c>
      <c r="B25">
        <v>26.667567120899999</v>
      </c>
      <c r="D25" s="16" t="s">
        <v>100</v>
      </c>
    </row>
    <row r="26" spans="1:4" ht="14" x14ac:dyDescent="0.15">
      <c r="A26" s="21" t="s">
        <v>18</v>
      </c>
      <c r="B26">
        <v>29.160853749600001</v>
      </c>
      <c r="D26" s="16" t="s">
        <v>105</v>
      </c>
    </row>
    <row r="27" spans="1:4" ht="14" x14ac:dyDescent="0.15">
      <c r="A27" s="21" t="s">
        <v>19</v>
      </c>
      <c r="B27">
        <v>29.690057108600001</v>
      </c>
      <c r="D27" s="16" t="s">
        <v>110</v>
      </c>
    </row>
    <row r="28" spans="1:4" ht="14" x14ac:dyDescent="0.15">
      <c r="A28" s="21" t="s">
        <v>20</v>
      </c>
      <c r="B28">
        <v>30.2299024635</v>
      </c>
      <c r="D28" s="16" t="s">
        <v>117</v>
      </c>
    </row>
    <row r="29" spans="1:4" ht="14" x14ac:dyDescent="0.15">
      <c r="A29" s="21" t="s">
        <v>21</v>
      </c>
      <c r="B29">
        <v>30.8586567549</v>
      </c>
      <c r="D29" s="16" t="s">
        <v>125</v>
      </c>
    </row>
    <row r="30" spans="1:4" ht="14" x14ac:dyDescent="0.15">
      <c r="A30" s="21" t="s">
        <v>22</v>
      </c>
      <c r="B30">
        <v>33.893314831600001</v>
      </c>
      <c r="D30" s="16" t="s">
        <v>132</v>
      </c>
    </row>
    <row r="31" spans="1:4" ht="14" x14ac:dyDescent="0.15">
      <c r="A31" s="21" t="s">
        <v>23</v>
      </c>
      <c r="B31">
        <v>34.477469162200002</v>
      </c>
      <c r="D31" s="16" t="s">
        <v>136</v>
      </c>
    </row>
    <row r="32" spans="1:4" ht="14" x14ac:dyDescent="0.15">
      <c r="A32" s="21" t="s">
        <v>24</v>
      </c>
      <c r="B32">
        <v>35.036916684399998</v>
      </c>
      <c r="D32" s="16" t="s">
        <v>140</v>
      </c>
    </row>
    <row r="33" spans="1:4" ht="14" x14ac:dyDescent="0.15">
      <c r="A33" s="21" t="s">
        <v>65</v>
      </c>
      <c r="B33">
        <v>35.5859194823</v>
      </c>
      <c r="D33" s="16" t="s">
        <v>143</v>
      </c>
    </row>
    <row r="34" spans="1:4" ht="14" x14ac:dyDescent="0.15">
      <c r="A34" s="21" t="s">
        <v>66</v>
      </c>
      <c r="B34">
        <v>38.077483221900003</v>
      </c>
      <c r="D34" s="16" t="s">
        <v>157</v>
      </c>
    </row>
    <row r="35" spans="1:4" ht="14" x14ac:dyDescent="0.15">
      <c r="A35" s="21" t="s">
        <v>67</v>
      </c>
      <c r="B35">
        <v>38.519558551999999</v>
      </c>
      <c r="D35" s="16" t="s">
        <v>161</v>
      </c>
    </row>
    <row r="36" spans="1:4" ht="14" x14ac:dyDescent="0.15">
      <c r="A36" s="21" t="s">
        <v>68</v>
      </c>
      <c r="B36">
        <v>38.940546805700002</v>
      </c>
      <c r="D36" s="16" t="s">
        <v>162</v>
      </c>
    </row>
    <row r="37" spans="1:4" ht="14" x14ac:dyDescent="0.15">
      <c r="A37" s="21" t="s">
        <v>69</v>
      </c>
      <c r="B37">
        <v>39.392888532199997</v>
      </c>
      <c r="D37" s="36" t="s">
        <v>167</v>
      </c>
    </row>
    <row r="38" spans="1:4" ht="14" x14ac:dyDescent="0.15">
      <c r="A38" s="21" t="s">
        <v>70</v>
      </c>
      <c r="B38">
        <v>41.208006725499999</v>
      </c>
      <c r="D38" s="16" t="s">
        <v>169</v>
      </c>
    </row>
    <row r="39" spans="1:4" ht="14" x14ac:dyDescent="0.15">
      <c r="A39" s="21" t="s">
        <v>71</v>
      </c>
      <c r="B39">
        <v>41.472394959399999</v>
      </c>
      <c r="D39" s="16" t="s">
        <v>183</v>
      </c>
    </row>
    <row r="40" spans="1:4" ht="14" x14ac:dyDescent="0.15">
      <c r="A40" s="21" t="s">
        <v>72</v>
      </c>
      <c r="B40">
        <v>41.727504338400003</v>
      </c>
    </row>
    <row r="41" spans="1:4" ht="14" x14ac:dyDescent="0.15">
      <c r="A41" s="21" t="s">
        <v>73</v>
      </c>
      <c r="B41">
        <v>41.942793811000001</v>
      </c>
    </row>
    <row r="42" spans="1:4" ht="14" x14ac:dyDescent="0.15">
      <c r="A42" s="21" t="s">
        <v>74</v>
      </c>
      <c r="B42">
        <v>42.797502587099999</v>
      </c>
    </row>
    <row r="43" spans="1:4" ht="14" x14ac:dyDescent="0.15">
      <c r="A43" s="21" t="s">
        <v>75</v>
      </c>
      <c r="B43">
        <v>43.454759127000003</v>
      </c>
    </row>
    <row r="44" spans="1:4" ht="14" x14ac:dyDescent="0.15">
      <c r="A44" s="21" t="s">
        <v>76</v>
      </c>
      <c r="B44">
        <v>43.878896266399998</v>
      </c>
    </row>
    <row r="45" spans="1:4" ht="14" x14ac:dyDescent="0.15">
      <c r="A45" s="21" t="s">
        <v>77</v>
      </c>
      <c r="B45">
        <v>44.250622268900003</v>
      </c>
    </row>
    <row r="46" spans="1:4" ht="14" x14ac:dyDescent="0.15">
      <c r="A46" s="21" t="s">
        <v>78</v>
      </c>
      <c r="B46">
        <v>45.961460239799997</v>
      </c>
    </row>
    <row r="47" spans="1:4" ht="14" x14ac:dyDescent="0.15">
      <c r="A47" s="21" t="s">
        <v>79</v>
      </c>
      <c r="B47">
        <v>45.801193402899997</v>
      </c>
    </row>
    <row r="48" spans="1:4" ht="14" x14ac:dyDescent="0.15">
      <c r="A48" s="21" t="s">
        <v>80</v>
      </c>
      <c r="B48">
        <v>45.858354875499998</v>
      </c>
    </row>
    <row r="49" spans="1:2" ht="14" x14ac:dyDescent="0.15">
      <c r="A49" s="21" t="s">
        <v>81</v>
      </c>
      <c r="B49">
        <v>46.144401662900002</v>
      </c>
    </row>
    <row r="50" spans="1:2" ht="14" x14ac:dyDescent="0.15">
      <c r="A50" s="21" t="s">
        <v>51</v>
      </c>
      <c r="B50">
        <v>48.010914075300001</v>
      </c>
    </row>
    <row r="51" spans="1:2" ht="14" x14ac:dyDescent="0.15">
      <c r="A51" s="21" t="s">
        <v>82</v>
      </c>
      <c r="B51">
        <v>48.742112733299997</v>
      </c>
    </row>
    <row r="52" spans="1:2" ht="14" x14ac:dyDescent="0.15">
      <c r="A52" s="21" t="s">
        <v>83</v>
      </c>
      <c r="B52">
        <v>49.3077519956</v>
      </c>
    </row>
    <row r="53" spans="1:2" ht="14" x14ac:dyDescent="0.15">
      <c r="A53" s="21" t="s">
        <v>84</v>
      </c>
      <c r="B53">
        <v>49.890147224700002</v>
      </c>
    </row>
    <row r="54" spans="1:2" ht="14" x14ac:dyDescent="0.15">
      <c r="A54" s="21" t="s">
        <v>85</v>
      </c>
      <c r="B54">
        <v>51.719799631800001</v>
      </c>
    </row>
    <row r="55" spans="1:2" ht="14" x14ac:dyDescent="0.15">
      <c r="A55" s="21" t="s">
        <v>86</v>
      </c>
      <c r="B55">
        <v>52.040250420500001</v>
      </c>
    </row>
    <row r="56" spans="1:2" ht="14" x14ac:dyDescent="0.15">
      <c r="A56" s="21" t="s">
        <v>87</v>
      </c>
      <c r="B56">
        <v>52.457462551299997</v>
      </c>
    </row>
    <row r="57" spans="1:2" ht="14" x14ac:dyDescent="0.15">
      <c r="A57" s="21" t="s">
        <v>88</v>
      </c>
      <c r="B57">
        <v>52.826173780600001</v>
      </c>
    </row>
    <row r="58" spans="1:2" ht="14" x14ac:dyDescent="0.15">
      <c r="A58" s="21" t="s">
        <v>25</v>
      </c>
      <c r="B58">
        <v>54.489774508499998</v>
      </c>
    </row>
    <row r="59" spans="1:2" ht="14" x14ac:dyDescent="0.15">
      <c r="A59" s="21" t="s">
        <v>89</v>
      </c>
      <c r="B59">
        <v>55.164449906900003</v>
      </c>
    </row>
    <row r="60" spans="1:2" ht="14" x14ac:dyDescent="0.15">
      <c r="A60" s="21" t="s">
        <v>90</v>
      </c>
      <c r="B60">
        <v>55.6768037569</v>
      </c>
    </row>
    <row r="61" spans="1:2" ht="14" x14ac:dyDescent="0.15">
      <c r="A61" s="21" t="s">
        <v>91</v>
      </c>
      <c r="B61">
        <v>56.052349760799999</v>
      </c>
    </row>
    <row r="62" spans="1:2" ht="14" x14ac:dyDescent="0.15">
      <c r="A62" s="21" t="s">
        <v>92</v>
      </c>
      <c r="B62">
        <v>57.890434184900002</v>
      </c>
    </row>
    <row r="63" spans="1:2" ht="14" x14ac:dyDescent="0.15">
      <c r="A63" s="21" t="s">
        <v>93</v>
      </c>
      <c r="B63">
        <v>58.260178102099999</v>
      </c>
    </row>
    <row r="64" spans="1:2" ht="14" x14ac:dyDescent="0.15">
      <c r="A64" s="21" t="s">
        <v>94</v>
      </c>
      <c r="B64">
        <v>58.792107590100002</v>
      </c>
    </row>
    <row r="65" spans="1:2" ht="14" x14ac:dyDescent="0.15">
      <c r="A65" s="21" t="s">
        <v>95</v>
      </c>
      <c r="B65">
        <v>59.487121244199997</v>
      </c>
    </row>
    <row r="66" spans="1:2" ht="14" x14ac:dyDescent="0.15">
      <c r="A66" s="21" t="s">
        <v>45</v>
      </c>
      <c r="B66">
        <v>61.789477121799997</v>
      </c>
    </row>
    <row r="67" spans="1:2" ht="14" x14ac:dyDescent="0.15">
      <c r="A67" s="21" t="s">
        <v>26</v>
      </c>
      <c r="B67">
        <v>62.472132398100001</v>
      </c>
    </row>
    <row r="68" spans="1:2" ht="14" x14ac:dyDescent="0.15">
      <c r="A68" s="21" t="s">
        <v>62</v>
      </c>
      <c r="B68">
        <v>63.018831351400003</v>
      </c>
    </row>
    <row r="69" spans="1:2" ht="14" x14ac:dyDescent="0.15">
      <c r="A69" s="21" t="s">
        <v>63</v>
      </c>
      <c r="B69">
        <v>63.240985623</v>
      </c>
    </row>
    <row r="70" spans="1:2" ht="14" x14ac:dyDescent="0.15">
      <c r="A70" s="21" t="s">
        <v>99</v>
      </c>
      <c r="B70">
        <v>65.656691514299993</v>
      </c>
    </row>
    <row r="71" spans="1:2" ht="14" x14ac:dyDescent="0.15">
      <c r="A71" s="21" t="s">
        <v>46</v>
      </c>
      <c r="B71">
        <v>65.938692942900005</v>
      </c>
    </row>
    <row r="72" spans="1:2" ht="14" x14ac:dyDescent="0.15">
      <c r="A72" s="21" t="s">
        <v>47</v>
      </c>
      <c r="B72">
        <v>66.238886026599999</v>
      </c>
    </row>
    <row r="73" spans="1:2" ht="14" x14ac:dyDescent="0.15">
      <c r="A73" s="21" t="s">
        <v>48</v>
      </c>
      <c r="B73">
        <v>66.557015585000002</v>
      </c>
    </row>
    <row r="74" spans="1:2" ht="14" x14ac:dyDescent="0.15">
      <c r="A74" s="21" t="s">
        <v>49</v>
      </c>
      <c r="B74">
        <v>68.9651994532</v>
      </c>
    </row>
    <row r="75" spans="1:2" ht="14" x14ac:dyDescent="0.15">
      <c r="A75" s="21" t="s">
        <v>50</v>
      </c>
      <c r="B75">
        <v>68.791807219500001</v>
      </c>
    </row>
    <row r="76" spans="1:2" ht="14" x14ac:dyDescent="0.15">
      <c r="A76" s="21" t="s">
        <v>52</v>
      </c>
      <c r="B76">
        <v>69.038695977100005</v>
      </c>
    </row>
    <row r="77" spans="1:2" ht="14" x14ac:dyDescent="0.15">
      <c r="A77" s="21" t="s">
        <v>53</v>
      </c>
      <c r="B77">
        <v>69.467530186499999</v>
      </c>
    </row>
    <row r="78" spans="1:2" ht="14" x14ac:dyDescent="0.15">
      <c r="A78" s="21" t="s">
        <v>54</v>
      </c>
      <c r="B78">
        <v>72.123347294300004</v>
      </c>
    </row>
    <row r="79" spans="1:2" ht="14" x14ac:dyDescent="0.15">
      <c r="A79" s="21" t="s">
        <v>55</v>
      </c>
      <c r="B79">
        <v>72.138855956699999</v>
      </c>
    </row>
    <row r="80" spans="1:2" ht="14" x14ac:dyDescent="0.15">
      <c r="A80" s="21" t="s">
        <v>40</v>
      </c>
      <c r="B80">
        <v>72.508114858900001</v>
      </c>
    </row>
    <row r="81" spans="1:2" ht="14" x14ac:dyDescent="0.15">
      <c r="A81" s="21" t="s">
        <v>41</v>
      </c>
      <c r="B81">
        <v>73.406084675399995</v>
      </c>
    </row>
    <row r="82" spans="1:2" ht="14" x14ac:dyDescent="0.15">
      <c r="A82" s="21" t="s">
        <v>113</v>
      </c>
      <c r="B82">
        <v>76.379755497900007</v>
      </c>
    </row>
    <row r="83" spans="1:2" ht="14" x14ac:dyDescent="0.15">
      <c r="A83" s="21" t="s">
        <v>42</v>
      </c>
      <c r="B83">
        <v>76.252849921099994</v>
      </c>
    </row>
    <row r="84" spans="1:2" ht="14" x14ac:dyDescent="0.15">
      <c r="A84" s="21" t="s">
        <v>43</v>
      </c>
      <c r="B84">
        <v>76.5691040281</v>
      </c>
    </row>
    <row r="85" spans="1:2" ht="14" x14ac:dyDescent="0.15">
      <c r="A85" s="21" t="s">
        <v>100</v>
      </c>
      <c r="B85">
        <v>76.740346806900007</v>
      </c>
    </row>
    <row r="86" spans="1:2" ht="14" x14ac:dyDescent="0.15">
      <c r="A86" s="21" t="s">
        <v>102</v>
      </c>
      <c r="B86">
        <v>78.095306596699999</v>
      </c>
    </row>
    <row r="87" spans="1:2" ht="14" x14ac:dyDescent="0.15">
      <c r="A87" s="21" t="s">
        <v>103</v>
      </c>
      <c r="B87">
        <v>77.5050744017</v>
      </c>
    </row>
    <row r="88" spans="1:2" ht="14" x14ac:dyDescent="0.15">
      <c r="A88" s="21" t="s">
        <v>104</v>
      </c>
      <c r="B88">
        <v>77.754117457899994</v>
      </c>
    </row>
    <row r="89" spans="1:2" ht="14" x14ac:dyDescent="0.15">
      <c r="A89" s="21" t="s">
        <v>105</v>
      </c>
      <c r="B89">
        <v>78.047912399300003</v>
      </c>
    </row>
    <row r="90" spans="1:2" ht="14" x14ac:dyDescent="0.15">
      <c r="A90" s="21" t="s">
        <v>109</v>
      </c>
      <c r="B90">
        <v>80.770471117599996</v>
      </c>
    </row>
    <row r="91" spans="1:2" ht="14" x14ac:dyDescent="0.15">
      <c r="A91" s="21" t="s">
        <v>107</v>
      </c>
      <c r="B91">
        <v>80.802717444600006</v>
      </c>
    </row>
    <row r="92" spans="1:2" ht="14" x14ac:dyDescent="0.15">
      <c r="A92" s="21" t="s">
        <v>108</v>
      </c>
      <c r="B92">
        <v>81.157018091200001</v>
      </c>
    </row>
    <row r="93" spans="1:2" ht="14" x14ac:dyDescent="0.15">
      <c r="A93" s="21" t="s">
        <v>110</v>
      </c>
      <c r="B93">
        <v>81.457333111799997</v>
      </c>
    </row>
    <row r="94" spans="1:2" ht="14" x14ac:dyDescent="0.15">
      <c r="A94" s="21" t="s">
        <v>116</v>
      </c>
      <c r="B94">
        <v>82.949584732600002</v>
      </c>
    </row>
    <row r="95" spans="1:2" ht="14" x14ac:dyDescent="0.15">
      <c r="A95" s="21" t="s">
        <v>111</v>
      </c>
      <c r="B95">
        <v>83.259127589800002</v>
      </c>
    </row>
    <row r="96" spans="1:2" ht="14" x14ac:dyDescent="0.15">
      <c r="A96" s="21" t="s">
        <v>114</v>
      </c>
      <c r="B96">
        <v>83.712020149699995</v>
      </c>
    </row>
    <row r="97" spans="1:2" ht="14" x14ac:dyDescent="0.15">
      <c r="A97" s="21" t="s">
        <v>117</v>
      </c>
      <c r="B97">
        <v>84.084681517800007</v>
      </c>
    </row>
    <row r="98" spans="1:2" ht="14" x14ac:dyDescent="0.15">
      <c r="A98" s="21" t="s">
        <v>118</v>
      </c>
      <c r="B98">
        <v>86.709116052300004</v>
      </c>
    </row>
    <row r="99" spans="1:2" ht="14" x14ac:dyDescent="0.15">
      <c r="A99" s="21" t="s">
        <v>123</v>
      </c>
      <c r="B99">
        <v>87.366932860700004</v>
      </c>
    </row>
    <row r="100" spans="1:2" ht="14" x14ac:dyDescent="0.15">
      <c r="A100" s="21" t="s">
        <v>124</v>
      </c>
      <c r="B100">
        <v>88.293091419000007</v>
      </c>
    </row>
    <row r="101" spans="1:2" ht="14" x14ac:dyDescent="0.15">
      <c r="A101" s="21" t="s">
        <v>125</v>
      </c>
      <c r="B101">
        <v>89.195001881500005</v>
      </c>
    </row>
    <row r="102" spans="1:2" ht="14" x14ac:dyDescent="0.15">
      <c r="A102" s="21" t="s">
        <v>129</v>
      </c>
      <c r="B102">
        <v>94.066693205600004</v>
      </c>
    </row>
    <row r="103" spans="1:2" ht="14" x14ac:dyDescent="0.15">
      <c r="A103" s="21" t="s">
        <v>130</v>
      </c>
      <c r="B103">
        <v>94.167789048700001</v>
      </c>
    </row>
    <row r="104" spans="1:2" ht="14" x14ac:dyDescent="0.15">
      <c r="A104" s="21" t="s">
        <v>131</v>
      </c>
      <c r="B104">
        <v>94.597772337999999</v>
      </c>
    </row>
    <row r="105" spans="1:2" ht="14" x14ac:dyDescent="0.15">
      <c r="A105" s="21" t="s">
        <v>132</v>
      </c>
      <c r="B105">
        <v>95.052968302400004</v>
      </c>
    </row>
    <row r="106" spans="1:2" ht="14" x14ac:dyDescent="0.15">
      <c r="A106" s="21" t="s">
        <v>133</v>
      </c>
      <c r="B106">
        <v>98.358523152499998</v>
      </c>
    </row>
    <row r="107" spans="1:2" ht="14" x14ac:dyDescent="0.15">
      <c r="A107" s="21" t="s">
        <v>134</v>
      </c>
      <c r="B107">
        <v>98.653588692</v>
      </c>
    </row>
    <row r="108" spans="1:2" ht="14" x14ac:dyDescent="0.15">
      <c r="A108" s="21" t="s">
        <v>135</v>
      </c>
      <c r="B108">
        <v>99.278089074299999</v>
      </c>
    </row>
    <row r="109" spans="1:2" ht="14" x14ac:dyDescent="0.15">
      <c r="A109" s="21" t="s">
        <v>136</v>
      </c>
      <c r="B109">
        <v>100.0000000041</v>
      </c>
    </row>
    <row r="110" spans="1:2" ht="14" x14ac:dyDescent="0.15">
      <c r="A110" s="21" t="s">
        <v>137</v>
      </c>
      <c r="B110">
        <v>103.1737530761</v>
      </c>
    </row>
    <row r="111" spans="1:2" ht="14" x14ac:dyDescent="0.15">
      <c r="A111" s="21" t="s">
        <v>138</v>
      </c>
      <c r="B111">
        <v>103.4141532841</v>
      </c>
    </row>
    <row r="112" spans="1:2" ht="14" x14ac:dyDescent="0.15">
      <c r="A112" s="21" t="s">
        <v>139</v>
      </c>
      <c r="B112">
        <v>103.88343865580001</v>
      </c>
    </row>
    <row r="113" spans="1:2" ht="14" x14ac:dyDescent="0.15">
      <c r="A113" s="21" t="s">
        <v>140</v>
      </c>
      <c r="B113">
        <v>104.319010224</v>
      </c>
    </row>
    <row r="114" spans="1:2" ht="14" x14ac:dyDescent="0.15">
      <c r="A114" s="31" t="s">
        <v>141</v>
      </c>
      <c r="B114">
        <v>108.0121541038</v>
      </c>
    </row>
    <row r="115" spans="1:2" ht="14" x14ac:dyDescent="0.15">
      <c r="A115" s="31" t="s">
        <v>144</v>
      </c>
      <c r="B115">
        <v>108.019349913</v>
      </c>
    </row>
    <row r="116" spans="1:2" ht="14" x14ac:dyDescent="0.15">
      <c r="A116" s="31" t="s">
        <v>145</v>
      </c>
      <c r="B116">
        <v>108.676204107</v>
      </c>
    </row>
    <row r="117" spans="1:2" ht="14" x14ac:dyDescent="0.15">
      <c r="A117" s="31" t="s">
        <v>143</v>
      </c>
      <c r="B117">
        <v>109.13832955479999</v>
      </c>
    </row>
    <row r="118" spans="1:2" ht="14" x14ac:dyDescent="0.15">
      <c r="A118" s="21" t="s">
        <v>154</v>
      </c>
      <c r="B118">
        <v>112.3631721445</v>
      </c>
    </row>
    <row r="119" spans="1:2" ht="14" x14ac:dyDescent="0.15">
      <c r="A119" s="21" t="s">
        <v>155</v>
      </c>
      <c r="B119">
        <v>112.5659537834</v>
      </c>
    </row>
    <row r="120" spans="1:2" ht="14" x14ac:dyDescent="0.15">
      <c r="A120" s="21" t="s">
        <v>156</v>
      </c>
      <c r="B120">
        <v>113.27091848960001</v>
      </c>
    </row>
    <row r="121" spans="1:2" ht="14" x14ac:dyDescent="0.15">
      <c r="A121" s="21" t="s">
        <v>157</v>
      </c>
      <c r="B121">
        <v>114.0364280391</v>
      </c>
    </row>
    <row r="122" spans="1:2" ht="14" x14ac:dyDescent="0.15">
      <c r="A122" s="21" t="s">
        <v>158</v>
      </c>
      <c r="B122">
        <v>119.2003246103</v>
      </c>
    </row>
    <row r="123" spans="1:2" ht="14" x14ac:dyDescent="0.15">
      <c r="A123" s="21" t="s">
        <v>159</v>
      </c>
      <c r="B123">
        <v>120.1433304089</v>
      </c>
    </row>
    <row r="124" spans="1:2" ht="14" x14ac:dyDescent="0.15">
      <c r="A124" s="21" t="s">
        <v>160</v>
      </c>
      <c r="B124">
        <v>120.9281377981</v>
      </c>
    </row>
    <row r="125" spans="1:2" ht="14" x14ac:dyDescent="0.15">
      <c r="A125" s="21" t="s">
        <v>161</v>
      </c>
      <c r="B125">
        <v>121.6388369669</v>
      </c>
    </row>
    <row r="126" spans="1:2" ht="14" x14ac:dyDescent="0.15">
      <c r="A126" s="21" t="s">
        <v>190</v>
      </c>
      <c r="B126">
        <v>125.4189944276</v>
      </c>
    </row>
    <row r="127" spans="1:2" ht="14" x14ac:dyDescent="0.15">
      <c r="A127" s="21" t="s">
        <v>163</v>
      </c>
      <c r="B127">
        <v>125.7363864333</v>
      </c>
    </row>
    <row r="128" spans="1:2" ht="14" x14ac:dyDescent="0.15">
      <c r="A128" s="21" t="s">
        <v>164</v>
      </c>
      <c r="B128">
        <v>126.478351854</v>
      </c>
    </row>
    <row r="129" spans="1:2" ht="14" x14ac:dyDescent="0.15">
      <c r="A129" s="21" t="s">
        <v>162</v>
      </c>
      <c r="B129">
        <v>127.3263086836</v>
      </c>
    </row>
    <row r="130" spans="1:2" ht="14" x14ac:dyDescent="0.15">
      <c r="A130" s="21" t="s">
        <v>171</v>
      </c>
      <c r="B130">
        <v>129.303224019</v>
      </c>
    </row>
    <row r="131" spans="1:2" ht="14" x14ac:dyDescent="0.15">
      <c r="A131" s="21" t="s">
        <v>172</v>
      </c>
      <c r="B131">
        <v>130.1219412863</v>
      </c>
    </row>
    <row r="132" spans="1:2" ht="14" x14ac:dyDescent="0.15">
      <c r="A132" s="21" t="s">
        <v>173</v>
      </c>
      <c r="B132">
        <v>131.1077516725</v>
      </c>
    </row>
    <row r="133" spans="1:2" ht="14" x14ac:dyDescent="0.15">
      <c r="A133" s="21" t="s">
        <v>167</v>
      </c>
      <c r="B133">
        <v>132.23452415829999</v>
      </c>
    </row>
    <row r="134" spans="1:2" ht="14" x14ac:dyDescent="0.15">
      <c r="A134" s="21" t="s">
        <v>177</v>
      </c>
      <c r="B134">
        <v>137.68918627650001</v>
      </c>
    </row>
    <row r="135" spans="1:2" ht="14" x14ac:dyDescent="0.15">
      <c r="A135" s="21" t="s">
        <v>178</v>
      </c>
      <c r="B135">
        <v>137.73911686029999</v>
      </c>
    </row>
    <row r="136" spans="1:2" ht="14" x14ac:dyDescent="0.15">
      <c r="A136" s="21" t="s">
        <v>179</v>
      </c>
      <c r="B136">
        <v>138.00872426890001</v>
      </c>
    </row>
    <row r="137" spans="1:2" ht="14" x14ac:dyDescent="0.15">
      <c r="A137" s="21" t="s">
        <v>169</v>
      </c>
      <c r="B137">
        <v>138.31448348999999</v>
      </c>
    </row>
    <row r="138" spans="1:2" ht="14" x14ac:dyDescent="0.15">
      <c r="A138" s="21" t="s">
        <v>180</v>
      </c>
    </row>
    <row r="139" spans="1:2" ht="14" x14ac:dyDescent="0.15">
      <c r="A139" s="21" t="s">
        <v>181</v>
      </c>
    </row>
    <row r="140" spans="1:2" ht="14" x14ac:dyDescent="0.15">
      <c r="A140" s="21" t="s">
        <v>182</v>
      </c>
    </row>
    <row r="141" spans="1:2" ht="14" x14ac:dyDescent="0.15">
      <c r="A141" s="21" t="s">
        <v>183</v>
      </c>
    </row>
  </sheetData>
  <sheetProtection algorithmName="SHA-512" hashValue="0Kowahftx3xEzqwilv1GvHOyX5qUMiow0x7LdPYVxbp/R/aDf+GT7efAlYPGDrA2chi7mLIPhyGFa/gt6HtPlg==" saltValue="dM9bzucKpq9kOSEKHoRFTg==" spinCount="100000" sheet="1" objects="1" scenarios="1"/>
  <phoneticPr fontId="22" type="noConversion"/>
  <hyperlinks>
    <hyperlink ref="A1" r:id="rId1" xr:uid="{00000000-0004-0000-0200-000000000000}"/>
  </hyperlinks>
  <pageMargins left="0.7" right="0.7" top="0.75" bottom="0.75" header="0.3" footer="0.3"/>
  <pageSetup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Tabla para copiar</vt:lpstr>
      <vt:lpstr>Calculos deflactor</vt:lpstr>
      <vt:lpstr>Original INEGI Base 1993-2025</vt:lpstr>
    </vt:vector>
  </TitlesOfParts>
  <Company>Personal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Briseida Lavielle</dc:creator>
  <cp:lastModifiedBy>Invitado Foro Investigación</cp:lastModifiedBy>
  <dcterms:created xsi:type="dcterms:W3CDTF">2002-12-10T00:55:52Z</dcterms:created>
  <dcterms:modified xsi:type="dcterms:W3CDTF">2026-07-14T20:00:30Z</dcterms:modified>
</cp:coreProperties>
</file>